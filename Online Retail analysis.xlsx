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pavani_19/Documents/"/>
    </mc:Choice>
  </mc:AlternateContent>
  <xr:revisionPtr revIDLastSave="0" documentId="13_ncr:1_{296EA26C-E8C9-8742-A920-1E72E18E7333}" xr6:coauthVersionLast="47" xr6:coauthVersionMax="47" xr10:uidLastSave="{00000000-0000-0000-0000-000000000000}"/>
  <bookViews>
    <workbookView xWindow="0" yWindow="740" windowWidth="29400" windowHeight="18380" firstSheet="2" activeTab="7" xr2:uid="{38534C5E-642A-7F4E-9338-CB63BD5DED8D}"/>
  </bookViews>
  <sheets>
    <sheet name="Day8" sheetId="1" r:id="rId1"/>
    <sheet name="Day9" sheetId="2" r:id="rId2"/>
    <sheet name="Day10" sheetId="3" r:id="rId3"/>
    <sheet name="Day11" sheetId="4" r:id="rId4"/>
    <sheet name="Day12" sheetId="5" r:id="rId5"/>
    <sheet name="Scenario Summary 2" sheetId="7" r:id="rId6"/>
    <sheet name="Day13" sheetId="8" r:id="rId7"/>
    <sheet name="Day14" sheetId="9" r:id="rId8"/>
  </sheets>
  <definedNames>
    <definedName name="_xlchart.v1.0" hidden="1">'Day10'!$X$1:$X$2</definedName>
    <definedName name="_xlchart.v1.1" hidden="1">'Day10'!$X$3:$X$22</definedName>
    <definedName name="_xlchart.v1.6" hidden="1">'Day11'!$A$2:$A$7</definedName>
    <definedName name="_xlchart.v1.7" hidden="1">'Day11'!$B$1</definedName>
    <definedName name="_xlchart.v1.8" hidden="1">'Day11'!$B$2:$B$7</definedName>
    <definedName name="_xlchart.v5.2" hidden="1">'Day10'!$M$1:$N$1</definedName>
    <definedName name="_xlchart.v5.3" hidden="1">'Day10'!$M$2:$N$6</definedName>
    <definedName name="_xlchart.v5.4" hidden="1">'Day10'!$O$1</definedName>
    <definedName name="_xlchart.v5.5" hidden="1">'Day10'!$O$2:$O$6</definedName>
    <definedName name="Slicer_Product">#N/A</definedName>
  </definedNames>
  <calcPr calcId="191029"/>
  <pivotCaches>
    <pivotCache cacheId="8" r:id="rId9"/>
    <pivotCache cacheId="9" r:id="rId10"/>
    <pivotCache cacheId="10" r:id="rId11"/>
    <pivotCache cacheId="11" r:id="rId12"/>
    <pivotCache cacheId="12" r:id="rId13"/>
    <pivotCache cacheId="13" r:id="rId14"/>
    <pivotCache cacheId="14" r:id="rId15"/>
    <pivotCache cacheId="15"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5" i="5" l="1"/>
  <c r="B3" i="5"/>
  <c r="E1" i="5" s="1"/>
</calcChain>
</file>

<file path=xl/sharedStrings.xml><?xml version="1.0" encoding="utf-8"?>
<sst xmlns="http://schemas.openxmlformats.org/spreadsheetml/2006/main" count="360" uniqueCount="120">
  <si>
    <t>Date</t>
  </si>
  <si>
    <t>East</t>
  </si>
  <si>
    <t>Laptop</t>
  </si>
  <si>
    <t>West</t>
  </si>
  <si>
    <t>Mouse</t>
  </si>
  <si>
    <t>Keyboard</t>
  </si>
  <si>
    <t>South</t>
  </si>
  <si>
    <t>Region</t>
  </si>
  <si>
    <t>Product</t>
  </si>
  <si>
    <t>Sales</t>
  </si>
  <si>
    <t>Profit</t>
  </si>
  <si>
    <t>Row Labels</t>
  </si>
  <si>
    <t>Grand Total</t>
  </si>
  <si>
    <t>Sum of Sales</t>
  </si>
  <si>
    <t>Sum of Profit</t>
  </si>
  <si>
    <t>ages</t>
  </si>
  <si>
    <t>Jan</t>
  </si>
  <si>
    <t>Column Labels</t>
  </si>
  <si>
    <t>18-25</t>
  </si>
  <si>
    <t>26-33</t>
  </si>
  <si>
    <t>34-41</t>
  </si>
  <si>
    <t>42-49</t>
  </si>
  <si>
    <t>Category</t>
  </si>
  <si>
    <t>Electronics</t>
  </si>
  <si>
    <t>Accessories</t>
  </si>
  <si>
    <t>North</t>
  </si>
  <si>
    <t>Monitor</t>
  </si>
  <si>
    <t xml:space="preserve"> order ID</t>
  </si>
  <si>
    <t>Count of  order ID</t>
  </si>
  <si>
    <t>Max. of Sales</t>
  </si>
  <si>
    <t>Min. of Sales</t>
  </si>
  <si>
    <t>TOPIC-2 Pivot Table exercise</t>
  </si>
  <si>
    <t>Topic -1 Excel pivot tables</t>
  </si>
  <si>
    <t>Month</t>
  </si>
  <si>
    <t>Feb</t>
  </si>
  <si>
    <t>Mar</t>
  </si>
  <si>
    <t>Apr</t>
  </si>
  <si>
    <t>May</t>
  </si>
  <si>
    <t>Jun</t>
  </si>
  <si>
    <t>Furniture</t>
  </si>
  <si>
    <t>Clothing</t>
  </si>
  <si>
    <t>Cost</t>
  </si>
  <si>
    <t>Sum of Cost</t>
  </si>
  <si>
    <t>profit</t>
  </si>
  <si>
    <t>Sum of Profit Margin</t>
  </si>
  <si>
    <t>Sales (₹)</t>
  </si>
  <si>
    <t>Smartphone</t>
  </si>
  <si>
    <t>Revenue (₹)</t>
  </si>
  <si>
    <t>January</t>
  </si>
  <si>
    <t>February</t>
  </si>
  <si>
    <t>March</t>
  </si>
  <si>
    <t>April</t>
  </si>
  <si>
    <t>June</t>
  </si>
  <si>
    <t>July</t>
  </si>
  <si>
    <t>August</t>
  </si>
  <si>
    <t>September</t>
  </si>
  <si>
    <t>October</t>
  </si>
  <si>
    <t>November</t>
  </si>
  <si>
    <t>December</t>
  </si>
  <si>
    <t>Expense Category</t>
  </si>
  <si>
    <t>Amount</t>
  </si>
  <si>
    <t>Salaries</t>
  </si>
  <si>
    <t>Marketing</t>
  </si>
  <si>
    <t>Rent</t>
  </si>
  <si>
    <t>Software</t>
  </si>
  <si>
    <t>Utilities</t>
  </si>
  <si>
    <t>Printer</t>
  </si>
  <si>
    <t>Delhi</t>
  </si>
  <si>
    <t>Country</t>
  </si>
  <si>
    <t>India</t>
  </si>
  <si>
    <t>State</t>
  </si>
  <si>
    <t>Maharashtra</t>
  </si>
  <si>
    <t>Karnataka</t>
  </si>
  <si>
    <t>Tamil Nadu</t>
  </si>
  <si>
    <t>Telangana</t>
  </si>
  <si>
    <t>Advertising Spend (₹)</t>
  </si>
  <si>
    <t>A</t>
  </si>
  <si>
    <t>Delivery Time (Minutes)</t>
  </si>
  <si>
    <t>Website Visitors</t>
  </si>
  <si>
    <t>Units Sold</t>
  </si>
  <si>
    <t>Customer Rating</t>
  </si>
  <si>
    <t>Phone</t>
  </si>
  <si>
    <t>Tablet</t>
  </si>
  <si>
    <t>Sum of Units Sold</t>
  </si>
  <si>
    <t>Advertising Spend</t>
  </si>
  <si>
    <t>B</t>
  </si>
  <si>
    <t>Revenue</t>
  </si>
  <si>
    <t>Other Income</t>
  </si>
  <si>
    <t>Final Profit</t>
  </si>
  <si>
    <t>Profit %</t>
  </si>
  <si>
    <t>Expenses</t>
  </si>
  <si>
    <t>Quantity</t>
  </si>
  <si>
    <t>&lt;-price</t>
  </si>
  <si>
    <t>&lt;-Quantity</t>
  </si>
  <si>
    <t>Scenario Modeling</t>
  </si>
  <si>
    <t>Input</t>
  </si>
  <si>
    <t>Worst Case</t>
  </si>
  <si>
    <t>Expected</t>
  </si>
  <si>
    <t>Best Case</t>
  </si>
  <si>
    <t>Price</t>
  </si>
  <si>
    <t>Cost/Unit</t>
  </si>
  <si>
    <t>$B$11</t>
  </si>
  <si>
    <t>$B$12</t>
  </si>
  <si>
    <t>$B$13</t>
  </si>
  <si>
    <t>Created by Pavani Kampasati on 11/08/2026
Modified by Pavani Kampasati on 11/08/2026</t>
  </si>
  <si>
    <t>Created by Pavani Kampasati on 11/08/2026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</si>
  <si>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</si>
  <si>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</si>
  <si>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</si>
  <si>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</si>
  <si>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</si>
  <si>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</si>
  <si>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grey.</t>
  </si>
  <si>
    <t>$B$15</t>
  </si>
  <si>
    <t>HeadPhones</t>
  </si>
  <si>
    <t>Camera</t>
  </si>
  <si>
    <t>Desk</t>
  </si>
  <si>
    <t>Chair</t>
  </si>
  <si>
    <t>Scanner</t>
  </si>
  <si>
    <t>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</si>
</sst>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3" formatCode="_(* #,##0.00_);_(* \(#,##0.00\);_(* &quot;-&quot;??_);_(@_)"/>
  </numFmts>
  <fonts count="14" x14ac:knownFonts="1">
    <font>
      <sz val="12"/>
      <color theme="1"/>
      <name val="Aptos Narrow"/>
      <family val="2"/>
      <scheme val="minor"/>
    </font>
    <font>
      <b/>
      <sz val="12"/>
      <color theme="1"/>
      <name val="Aptos Narrow"/>
      <family val="2"/>
      <scheme val="minor"/>
    </font>
    <font>
      <sz val="14"/>
      <color theme="1"/>
      <name val="Aptos Narrow"/>
      <family val="2"/>
      <scheme val="minor"/>
    </font>
    <font>
      <b/>
      <sz val="14"/>
      <color theme="1"/>
      <name val="Aptos Narrow"/>
      <family val="2"/>
      <scheme val="minor"/>
    </font>
    <font>
      <sz val="18"/>
      <color theme="1"/>
      <name val="Aptos Narrow (Body)"/>
    </font>
    <font>
      <sz val="20"/>
      <color theme="1"/>
      <name val="Aptos Narrow (Body)"/>
    </font>
    <font>
      <b/>
      <sz val="14"/>
      <color indexed="9"/>
      <name val="Aptos Narrow"/>
      <family val="2"/>
      <scheme val="minor"/>
    </font>
    <font>
      <b/>
      <sz val="12"/>
      <color indexed="8"/>
      <name val="Aptos Narrow"/>
      <family val="2"/>
      <scheme val="minor"/>
    </font>
    <font>
      <b/>
      <sz val="12"/>
      <color indexed="18"/>
      <name val="Aptos Narrow"/>
      <family val="2"/>
      <scheme val="minor"/>
    </font>
    <font>
      <sz val="11"/>
      <color indexed="9"/>
      <name val="Aptos Narrow"/>
      <family val="2"/>
      <scheme val="minor"/>
    </font>
    <font>
      <sz val="8"/>
      <color theme="1"/>
      <name val="Aptos Narrow"/>
      <scheme val="minor"/>
    </font>
    <font>
      <sz val="12"/>
      <color theme="1"/>
      <name val="Aptos Narrow"/>
      <family val="2"/>
      <scheme val="minor"/>
    </font>
    <font>
      <b/>
      <sz val="12"/>
      <color theme="1"/>
      <name val="Aptos Narrow"/>
      <scheme val="minor"/>
    </font>
    <font>
      <sz val="12"/>
      <color theme="1"/>
      <name val="Aptos Narrow"/>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64"/>
      </patternFill>
    </fill>
  </fills>
  <borders count="6">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1" fillId="0" borderId="0" applyFont="0" applyFill="0" applyBorder="0" applyAlignment="0" applyProtection="0"/>
  </cellStyleXfs>
  <cellXfs count="31">
    <xf numFmtId="0" fontId="0" fillId="0" borderId="0" xfId="0"/>
    <xf numFmtId="16" fontId="0" fillId="0" borderId="0" xfId="0" applyNumberFormat="1"/>
    <xf numFmtId="0" fontId="1" fillId="0" borderId="0" xfId="0"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3" fontId="0" fillId="0" borderId="0" xfId="0" applyNumberFormat="1"/>
    <xf numFmtId="6" fontId="0" fillId="0" borderId="0" xfId="0" applyNumberFormat="1"/>
    <xf numFmtId="9" fontId="0" fillId="0" borderId="0" xfId="0" applyNumberFormat="1"/>
    <xf numFmtId="0" fontId="0" fillId="0" borderId="2" xfId="0" applyBorder="1"/>
    <xf numFmtId="0" fontId="6" fillId="2" borderId="3" xfId="0" applyFont="1" applyFill="1" applyBorder="1" applyAlignment="1">
      <alignment horizontal="left"/>
    </xf>
    <xf numFmtId="0" fontId="6" fillId="2" borderId="1" xfId="0" applyFont="1" applyFill="1" applyBorder="1" applyAlignment="1">
      <alignment horizontal="left"/>
    </xf>
    <xf numFmtId="0" fontId="0" fillId="0" borderId="4" xfId="0" applyBorder="1"/>
    <xf numFmtId="0" fontId="7" fillId="3" borderId="0" xfId="0" applyFont="1" applyFill="1" applyAlignment="1">
      <alignment horizontal="left"/>
    </xf>
    <xf numFmtId="0" fontId="8" fillId="3" borderId="4" xfId="0" applyFont="1" applyFill="1" applyBorder="1" applyAlignment="1">
      <alignment horizontal="left"/>
    </xf>
    <xf numFmtId="0" fontId="7" fillId="3" borderId="2" xfId="0" applyFont="1" applyFill="1" applyBorder="1" applyAlignment="1">
      <alignment horizontal="left"/>
    </xf>
    <xf numFmtId="0" fontId="9" fillId="2" borderId="1" xfId="0" applyFont="1" applyFill="1" applyBorder="1" applyAlignment="1">
      <alignment horizontal="right"/>
    </xf>
    <xf numFmtId="0" fontId="9" fillId="2" borderId="3" xfId="0" applyFont="1" applyFill="1" applyBorder="1" applyAlignment="1">
      <alignment horizontal="right"/>
    </xf>
    <xf numFmtId="0" fontId="0" fillId="4" borderId="0" xfId="0" applyFill="1"/>
    <xf numFmtId="0" fontId="10" fillId="0" borderId="0" xfId="0" applyFont="1" applyAlignment="1">
      <alignment vertical="top" wrapText="1"/>
    </xf>
    <xf numFmtId="0" fontId="12" fillId="0" borderId="5" xfId="0" applyFont="1" applyBorder="1"/>
    <xf numFmtId="0" fontId="13" fillId="0" borderId="5" xfId="0" applyFont="1" applyBorder="1"/>
    <xf numFmtId="43" fontId="12" fillId="0" borderId="5" xfId="1" applyFont="1" applyBorder="1"/>
    <xf numFmtId="43" fontId="13" fillId="0" borderId="5" xfId="1" applyFont="1" applyBorder="1"/>
    <xf numFmtId="43" fontId="13" fillId="0" borderId="5" xfId="1" applyFont="1" applyFill="1" applyBorder="1"/>
    <xf numFmtId="43" fontId="0" fillId="0" borderId="5" xfId="1" applyFont="1" applyBorder="1"/>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2" fillId="0" borderId="0" xfId="0"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041426071741033"/>
          <c:y val="0.15319444444444447"/>
          <c:w val="0.85847462817147857"/>
          <c:h val="0.72125801983085447"/>
        </c:manualLayout>
      </c:layout>
      <c:barChart>
        <c:barDir val="col"/>
        <c:grouping val="clustered"/>
        <c:varyColors val="0"/>
        <c:ser>
          <c:idx val="0"/>
          <c:order val="0"/>
          <c:tx>
            <c:strRef>
              <c:f>'Day9'!$B$1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'Day9'!$A$2:$A$7</c:f>
              <c:strCache>
                <c:ptCount val="6"/>
                <c:pt idx="0">
                  <c:v>Jan</c:v>
                </c:pt>
                <c:pt idx="1">
                  <c:v>Feb</c:v>
                </c:pt>
                <c:pt idx="2">
                  <c:v>Mar</c:v>
                </c:pt>
                <c:pt idx="3">
                  <c:v>Apr</c:v>
                </c:pt>
                <c:pt idx="4">
                  <c:v>May</c:v>
                </c:pt>
                <c:pt idx="5">
                  <c:v>Jun</c:v>
                </c:pt>
              </c:strCache>
            </c:strRef>
          </c:cat>
          <c:val>
            <c:numRef>
              <c:f>'Day9'!$B$2:$B$7</c:f>
              <c:numCache>
                <c:formatCode>#,##0</c:formatCode>
                <c:ptCount val="6"/>
                <c:pt idx="0">
                  <c:v>20000</c:v>
                </c:pt>
                <c:pt idx="1">
                  <c:v>25000</c:v>
                </c:pt>
                <c:pt idx="2">
                  <c:v>22000</c:v>
                </c:pt>
                <c:pt idx="3">
                  <c:v>30000</c:v>
                </c:pt>
                <c:pt idx="4">
                  <c:v>35000</c:v>
                </c:pt>
                <c:pt idx="5">
                  <c:v>40000</c:v>
                </c:pt>
              </c:numCache>
            </c:numRef>
          </c:val>
          <c:extLst>
            <c:ext xmlns:c16="http://schemas.microsoft.com/office/drawing/2014/chart" uri="{C3380CC4-5D6E-409C-BE32-E72D297353CC}">
              <c16:uniqueId val="{00000000-4CF1-D344-B05C-01E7FDDE8A73}"/>
            </c:ext>
          </c:extLst>
        </c:ser>
        <c:dLbls>
          <c:dLblPos val="inEnd"/>
          <c:showLegendKey val="0"/>
          <c:showVal val="1"/>
          <c:showCatName val="0"/>
          <c:showSerName val="0"/>
          <c:showPercent val="0"/>
          <c:showBubbleSize val="0"/>
        </c:dLbls>
        <c:gapWidth val="100"/>
        <c:overlap val="-24"/>
        <c:axId val="705136512"/>
        <c:axId val="704876672"/>
      </c:barChart>
      <c:catAx>
        <c:axId val="705136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876672"/>
        <c:crosses val="autoZero"/>
        <c:auto val="1"/>
        <c:lblAlgn val="ctr"/>
        <c:lblOffset val="100"/>
        <c:noMultiLvlLbl val="0"/>
      </c:catAx>
      <c:valAx>
        <c:axId val="7048766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13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'Day9'!$B$12</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F1-144D-A33C-D5F7AF2B8B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F1-144D-A33C-D5F7AF2B8B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F1-144D-A33C-D5F7AF2B8B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'Day9'!$A$13:$A$15</c:f>
              <c:strCache>
                <c:ptCount val="3"/>
                <c:pt idx="0">
                  <c:v>Electronics</c:v>
                </c:pt>
                <c:pt idx="1">
                  <c:v>Furniture</c:v>
                </c:pt>
                <c:pt idx="2">
                  <c:v>Clothing</c:v>
                </c:pt>
              </c:strCache>
            </c:strRef>
          </c:cat>
          <c:val>
            <c:numRef>
              <c:f>'Day9'!$B$13:$B$15</c:f>
              <c:numCache>
                <c:formatCode>"₹"#,##0_);[Red]\("₹"#,##0\)</c:formatCode>
                <c:ptCount val="3"/>
                <c:pt idx="0">
                  <c:v>50000</c:v>
                </c:pt>
                <c:pt idx="1">
                  <c:v>30000</c:v>
                </c:pt>
                <c:pt idx="2">
                  <c:v>20000</c:v>
                </c:pt>
              </c:numCache>
            </c:numRef>
          </c:val>
          <c:extLst>
            <c:ext xmlns:c16="http://schemas.microsoft.com/office/drawing/2014/chart" uri="{C3380CC4-5D6E-409C-BE32-E72D297353CC}">
              <c16:uniqueId val="{00000000-DA64-9E4A-8611-6B80224EE2D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Sales performance     </a:t>
            </a:r>
            <a:r>
              <a:rPr lang="en-US" baseline="0"/>
              <a:t> </a:t>
            </a:r>
            <a:endParaRPr lang="en-US"/>
          </a:p>
        </c:rich>
      </c:tx>
      <c:layout>
        <c:manualLayout>
          <c:xMode val="edge"/>
          <c:yMode val="edge"/>
          <c:x val="0.25092263945468479"/>
          <c:y val="4.0592172678463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'Day10'!$B$1</c:f>
              <c:strCache>
                <c:ptCount val="1"/>
                <c:pt idx="0">
                  <c:v>Sales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'Day10'!$A$2:$A$5</c:f>
              <c:strCache>
                <c:ptCount val="4"/>
                <c:pt idx="0">
                  <c:v>Laptop</c:v>
                </c:pt>
                <c:pt idx="1">
                  <c:v>Smartphone</c:v>
                </c:pt>
                <c:pt idx="2">
                  <c:v>Monitor</c:v>
                </c:pt>
                <c:pt idx="3">
                  <c:v>Keyboard</c:v>
                </c:pt>
              </c:strCache>
            </c:strRef>
          </c:cat>
          <c:val>
            <c:numRef>
              <c:f>'Day10'!$B$2:$B$5</c:f>
              <c:numCache>
                <c:formatCode>General</c:formatCode>
                <c:ptCount val="4"/>
                <c:pt idx="0">
                  <c:v>85000</c:v>
                </c:pt>
                <c:pt idx="1">
                  <c:v>72000</c:v>
                </c:pt>
                <c:pt idx="2">
                  <c:v>48000</c:v>
                </c:pt>
                <c:pt idx="3">
                  <c:v>18000</c:v>
                </c:pt>
              </c:numCache>
            </c:numRef>
          </c:val>
          <c:extLst>
            <c:ext xmlns:c16="http://schemas.microsoft.com/office/drawing/2014/chart" uri="{C3380CC4-5D6E-409C-BE32-E72D297353CC}">
              <c16:uniqueId val="{00000000-416C-5C41-96E2-BF5EBAB15865}"/>
            </c:ext>
          </c:extLst>
        </c:ser>
        <c:dLbls>
          <c:showLegendKey val="0"/>
          <c:showVal val="0"/>
          <c:showCatName val="0"/>
          <c:showSerName val="0"/>
          <c:showPercent val="0"/>
          <c:showBubbleSize val="0"/>
        </c:dLbls>
        <c:gapWidth val="115"/>
        <c:overlap val="-20"/>
        <c:axId val="278266080"/>
        <c:axId val="278282000"/>
      </c:barChart>
      <c:catAx>
        <c:axId val="27826608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282000"/>
        <c:crosses val="autoZero"/>
        <c:auto val="1"/>
        <c:lblAlgn val="ctr"/>
        <c:lblOffset val="100"/>
        <c:noMultiLvlLbl val="0"/>
      </c:catAx>
      <c:valAx>
        <c:axId val="27828200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2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'Day10'!$B$9</c:f>
              <c:strCache>
                <c:ptCount val="1"/>
                <c:pt idx="0">
                  <c:v>Revenue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7"/>
              <c:layout>
                <c:manualLayout>
                  <c:x val="-9.9004027193011254E-2"/>
                  <c:y val="8.55397011498786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5E-4545-A686-A039343F44BB}"/>
                </c:ext>
              </c:extLst>
            </c:dLbl>
            <c:dLbl>
              <c:idx val="8"/>
              <c:layout>
                <c:manualLayout>
                  <c:x val="-0.11515476572368184"/>
                  <c:y val="-3.6659871921376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5E-4545-A686-A039343F44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'Day10'!$A$10:$A$21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'Day10'!$B$10:$B$21</c:f>
              <c:numCache>
                <c:formatCode>#,##0</c:formatCode>
                <c:ptCount val="12"/>
                <c:pt idx="0">
                  <c:v>120000</c:v>
                </c:pt>
                <c:pt idx="1">
                  <c:v>135000</c:v>
                </c:pt>
                <c:pt idx="2">
                  <c:v>128000</c:v>
                </c:pt>
                <c:pt idx="3">
                  <c:v>150000</c:v>
                </c:pt>
                <c:pt idx="4">
                  <c:v>162000</c:v>
                </c:pt>
                <c:pt idx="5">
                  <c:v>158000</c:v>
                </c:pt>
                <c:pt idx="6">
                  <c:v>175000</c:v>
                </c:pt>
                <c:pt idx="7">
                  <c:v>182000</c:v>
                </c:pt>
                <c:pt idx="8">
                  <c:v>170000</c:v>
                </c:pt>
                <c:pt idx="9">
                  <c:v>195000</c:v>
                </c:pt>
                <c:pt idx="10">
                  <c:v>210000</c:v>
                </c:pt>
                <c:pt idx="11">
                  <c:v>225000</c:v>
                </c:pt>
              </c:numCache>
            </c:numRef>
          </c:val>
          <c:smooth val="0"/>
          <c:extLst>
            <c:ext xmlns:c16="http://schemas.microsoft.com/office/drawing/2014/chart" uri="{C3380CC4-5D6E-409C-BE32-E72D297353CC}">
              <c16:uniqueId val="{00000000-6D5E-4545-A686-A039343F44BB}"/>
            </c:ext>
          </c:extLst>
        </c:ser>
        <c:dLbls>
          <c:dLblPos val="ctr"/>
          <c:showLegendKey val="0"/>
          <c:showVal val="1"/>
          <c:showCatName val="0"/>
          <c:showSerName val="0"/>
          <c:showPercent val="0"/>
          <c:showBubbleSize val="0"/>
        </c:dLbls>
        <c:smooth val="0"/>
        <c:axId val="595025376"/>
        <c:axId val="1330373791"/>
      </c:lineChart>
      <c:catAx>
        <c:axId val="595025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373791"/>
        <c:crosses val="autoZero"/>
        <c:auto val="1"/>
        <c:lblAlgn val="ctr"/>
        <c:lblOffset val="100"/>
        <c:noMultiLvlLbl val="0"/>
      </c:catAx>
      <c:valAx>
        <c:axId val="13303737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02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5319444444444447"/>
          <c:w val="0.93888888888888888"/>
          <c:h val="0.6714577865266842"/>
        </c:manualLayout>
      </c:layout>
      <c:pie3DChart>
        <c:varyColors val="1"/>
        <c:ser>
          <c:idx val="0"/>
          <c:order val="0"/>
          <c:tx>
            <c:strRef>
              <c:f>'Day10'!$H$1</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0B4-F040-BC66-95BDB25F452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0B4-F040-BC66-95BDB25F452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0B4-F040-BC66-95BDB25F452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0B4-F040-BC66-95BDB25F452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0B4-F040-BC66-95BDB25F452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'Day10'!$G$2:$G$6</c:f>
              <c:strCache>
                <c:ptCount val="5"/>
                <c:pt idx="0">
                  <c:v>Salaries</c:v>
                </c:pt>
                <c:pt idx="1">
                  <c:v>Marketing</c:v>
                </c:pt>
                <c:pt idx="2">
                  <c:v>Rent</c:v>
                </c:pt>
                <c:pt idx="3">
                  <c:v>Software</c:v>
                </c:pt>
                <c:pt idx="4">
                  <c:v>Utilities</c:v>
                </c:pt>
              </c:strCache>
            </c:strRef>
          </c:cat>
          <c:val>
            <c:numRef>
              <c:f>'Day10'!$H$2:$H$6</c:f>
              <c:numCache>
                <c:formatCode>"₹"#,##0_);[Red]\("₹"#,##0\)</c:formatCode>
                <c:ptCount val="5"/>
                <c:pt idx="0">
                  <c:v>50000</c:v>
                </c:pt>
                <c:pt idx="1">
                  <c:v>20000</c:v>
                </c:pt>
                <c:pt idx="2">
                  <c:v>15000</c:v>
                </c:pt>
                <c:pt idx="3">
                  <c:v>10000</c:v>
                </c:pt>
                <c:pt idx="4">
                  <c:v>5000</c:v>
                </c:pt>
              </c:numCache>
            </c:numRef>
          </c:val>
          <c:extLst>
            <c:ext xmlns:c16="http://schemas.microsoft.com/office/drawing/2014/chart" uri="{C3380CC4-5D6E-409C-BE32-E72D297353CC}">
              <c16:uniqueId val="{00000000-2FC1-5147-96C0-1D6A405F711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[BA-RM-Week_2.xlsx]Day10!PivotTable1</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44098325680114"/>
          <c:y val="0.27681682861756884"/>
          <c:w val="0.65186250134216117"/>
          <c:h val="0.41609092504633344"/>
        </c:manualLayout>
      </c:layout>
      <c:bar3DChart>
        <c:barDir val="col"/>
        <c:grouping val="clustered"/>
        <c:varyColors val="0"/>
        <c:ser>
          <c:idx val="0"/>
          <c:order val="0"/>
          <c:tx>
            <c:strRef>
              <c:f>'Day10'!$L$12</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'Day10'!$K$13:$K$18</c:f>
              <c:strCache>
                <c:ptCount val="5"/>
                <c:pt idx="0">
                  <c:v>Laptop</c:v>
                </c:pt>
                <c:pt idx="1">
                  <c:v>Monitor</c:v>
                </c:pt>
                <c:pt idx="2">
                  <c:v>Printer</c:v>
                </c:pt>
                <c:pt idx="3">
                  <c:v>Keyboard</c:v>
                </c:pt>
                <c:pt idx="4">
                  <c:v>Mouse</c:v>
                </c:pt>
              </c:strCache>
            </c:strRef>
          </c:cat>
          <c:val>
            <c:numRef>
              <c:f>'Day10'!$L$13:$L$18</c:f>
              <c:numCache>
                <c:formatCode>"₹"#,##0_);[Red]\("₹"#,##0\)</c:formatCode>
                <c:ptCount val="5"/>
                <c:pt idx="0">
                  <c:v>80000</c:v>
                </c:pt>
                <c:pt idx="1">
                  <c:v>45000</c:v>
                </c:pt>
                <c:pt idx="2">
                  <c:v>35000</c:v>
                </c:pt>
                <c:pt idx="3">
                  <c:v>20000</c:v>
                </c:pt>
                <c:pt idx="4">
                  <c:v>15000</c:v>
                </c:pt>
              </c:numCache>
            </c:numRef>
          </c:val>
          <c:extLst>
            <c:ext xmlns:c16="http://schemas.microsoft.com/office/drawing/2014/chart" uri="{C3380CC4-5D6E-409C-BE32-E72D297353CC}">
              <c16:uniqueId val="{00000000-0680-3A47-8E75-D56EE417ECD2}"/>
            </c:ext>
          </c:extLst>
        </c:ser>
        <c:dLbls>
          <c:showLegendKey val="0"/>
          <c:showVal val="1"/>
          <c:showCatName val="0"/>
          <c:showSerName val="0"/>
          <c:showPercent val="0"/>
          <c:showBubbleSize val="0"/>
        </c:dLbls>
        <c:gapWidth val="150"/>
        <c:shape val="box"/>
        <c:axId val="1405827375"/>
        <c:axId val="1405829103"/>
        <c:axId val="0"/>
      </c:bar3DChart>
      <c:catAx>
        <c:axId val="140582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829103"/>
        <c:crosses val="autoZero"/>
        <c:auto val="1"/>
        <c:lblAlgn val="ctr"/>
        <c:lblOffset val="100"/>
        <c:noMultiLvlLbl val="0"/>
      </c:catAx>
      <c:valAx>
        <c:axId val="1405829103"/>
        <c:scaling>
          <c:orientation val="minMax"/>
        </c:scaling>
        <c:delete val="0"/>
        <c:axPos val="l"/>
        <c:majorGridlines>
          <c:spPr>
            <a:ln w="9525" cap="flat" cmpd="sng" algn="ctr">
              <a:solidFill>
                <a:schemeClr val="tx1">
                  <a:lumMod val="5000"/>
                  <a:lumOff val="9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8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'Day10'!$S$14</c:f>
              <c:strCache>
                <c:ptCount val="1"/>
                <c:pt idx="0">
                  <c:v>Sales (₹)</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'Day10'!$R$15:$R$20</c:f>
              <c:numCache>
                <c:formatCode>#,##0</c:formatCode>
                <c:ptCount val="6"/>
                <c:pt idx="0">
                  <c:v>10000</c:v>
                </c:pt>
                <c:pt idx="1">
                  <c:v>20000</c:v>
                </c:pt>
                <c:pt idx="2">
                  <c:v>30000</c:v>
                </c:pt>
                <c:pt idx="3">
                  <c:v>40000</c:v>
                </c:pt>
                <c:pt idx="4">
                  <c:v>50000</c:v>
                </c:pt>
                <c:pt idx="5">
                  <c:v>60000</c:v>
                </c:pt>
              </c:numCache>
            </c:numRef>
          </c:xVal>
          <c:yVal>
            <c:numRef>
              <c:f>'Day10'!$S$15:$S$20</c:f>
              <c:numCache>
                <c:formatCode>#,##0</c:formatCode>
                <c:ptCount val="6"/>
                <c:pt idx="0">
                  <c:v>50000</c:v>
                </c:pt>
                <c:pt idx="1">
                  <c:v>75000</c:v>
                </c:pt>
                <c:pt idx="2">
                  <c:v>95000</c:v>
                </c:pt>
                <c:pt idx="3">
                  <c:v>130000</c:v>
                </c:pt>
                <c:pt idx="4">
                  <c:v>155000</c:v>
                </c:pt>
                <c:pt idx="5">
                  <c:v>180000</c:v>
                </c:pt>
              </c:numCache>
            </c:numRef>
          </c:yVal>
          <c:smooth val="1"/>
          <c:extLst>
            <c:ext xmlns:c16="http://schemas.microsoft.com/office/drawing/2014/chart" uri="{C3380CC4-5D6E-409C-BE32-E72D297353CC}">
              <c16:uniqueId val="{00000000-4227-B348-8BB9-C4765389134B}"/>
            </c:ext>
          </c:extLst>
        </c:ser>
        <c:dLbls>
          <c:showLegendKey val="0"/>
          <c:showVal val="0"/>
          <c:showCatName val="0"/>
          <c:showSerName val="0"/>
          <c:showPercent val="0"/>
          <c:showBubbleSize val="0"/>
        </c:dLbls>
        <c:axId val="1365316383"/>
        <c:axId val="955402735"/>
      </c:scatterChart>
      <c:valAx>
        <c:axId val="136531638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402735"/>
        <c:crosses val="autoZero"/>
        <c:crossBetween val="midCat"/>
      </c:valAx>
      <c:valAx>
        <c:axId val="9554027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5316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'Day10'!$B$28</c:f>
              <c:strCache>
                <c:ptCount val="1"/>
                <c:pt idx="0">
                  <c:v>Website Visitors</c:v>
                </c:pt>
              </c:strCache>
            </c:strRef>
          </c:tx>
          <c:spPr>
            <a:ln w="28575" cap="rnd">
              <a:solidFill>
                <a:schemeClr val="accent1"/>
              </a:solidFill>
              <a:round/>
            </a:ln>
            <a:effectLst/>
          </c:spPr>
          <c:marker>
            <c:symbol val="none"/>
          </c:marker>
          <c:cat>
            <c:strRef>
              <c:f>'Day10'!$A$29:$A$34</c:f>
              <c:strCache>
                <c:ptCount val="6"/>
                <c:pt idx="0">
                  <c:v>January</c:v>
                </c:pt>
                <c:pt idx="1">
                  <c:v>February</c:v>
                </c:pt>
                <c:pt idx="2">
                  <c:v>March</c:v>
                </c:pt>
                <c:pt idx="3">
                  <c:v>April</c:v>
                </c:pt>
                <c:pt idx="4">
                  <c:v>May</c:v>
                </c:pt>
                <c:pt idx="5">
                  <c:v>June</c:v>
                </c:pt>
              </c:strCache>
            </c:strRef>
          </c:cat>
          <c:val>
            <c:numRef>
              <c:f>'Day10'!$B$29:$B$34</c:f>
              <c:numCache>
                <c:formatCode>#,##0</c:formatCode>
                <c:ptCount val="6"/>
                <c:pt idx="0">
                  <c:v>5000</c:v>
                </c:pt>
                <c:pt idx="1">
                  <c:v>5500</c:v>
                </c:pt>
                <c:pt idx="2">
                  <c:v>6200</c:v>
                </c:pt>
                <c:pt idx="3">
                  <c:v>6800</c:v>
                </c:pt>
                <c:pt idx="4">
                  <c:v>7500</c:v>
                </c:pt>
                <c:pt idx="5">
                  <c:v>8100</c:v>
                </c:pt>
              </c:numCache>
            </c:numRef>
          </c:val>
          <c:smooth val="0"/>
          <c:extLst>
            <c:ext xmlns:c16="http://schemas.microsoft.com/office/drawing/2014/chart" uri="{C3380CC4-5D6E-409C-BE32-E72D297353CC}">
              <c16:uniqueId val="{00000000-9E6B-D64C-89D5-2990E3E6F92B}"/>
            </c:ext>
          </c:extLst>
        </c:ser>
        <c:ser>
          <c:idx val="1"/>
          <c:order val="1"/>
          <c:tx>
            <c:strRef>
              <c:f>'Day10'!$C$28</c:f>
              <c:strCache>
                <c:ptCount val="1"/>
                <c:pt idx="0">
                  <c:v>Sales</c:v>
                </c:pt>
              </c:strCache>
            </c:strRef>
          </c:tx>
          <c:spPr>
            <a:ln w="28575" cap="rnd">
              <a:solidFill>
                <a:schemeClr val="accent2"/>
              </a:solidFill>
              <a:round/>
            </a:ln>
            <a:effectLst/>
          </c:spPr>
          <c:marker>
            <c:symbol val="none"/>
          </c:marker>
          <c:cat>
            <c:strRef>
              <c:f>'Day10'!$A$29:$A$34</c:f>
              <c:strCache>
                <c:ptCount val="6"/>
                <c:pt idx="0">
                  <c:v>January</c:v>
                </c:pt>
                <c:pt idx="1">
                  <c:v>February</c:v>
                </c:pt>
                <c:pt idx="2">
                  <c:v>March</c:v>
                </c:pt>
                <c:pt idx="3">
                  <c:v>April</c:v>
                </c:pt>
                <c:pt idx="4">
                  <c:v>May</c:v>
                </c:pt>
                <c:pt idx="5">
                  <c:v>June</c:v>
                </c:pt>
              </c:strCache>
            </c:strRef>
          </c:cat>
          <c:val>
            <c:numRef>
              <c:f>'Day10'!$C$29:$C$34</c:f>
              <c:numCache>
                <c:formatCode>"₹"#,##0_);[Red]\("₹"#,##0\)</c:formatCode>
                <c:ptCount val="6"/>
                <c:pt idx="0">
                  <c:v>80000</c:v>
                </c:pt>
                <c:pt idx="1">
                  <c:v>85000</c:v>
                </c:pt>
                <c:pt idx="2">
                  <c:v>95000</c:v>
                </c:pt>
                <c:pt idx="3">
                  <c:v>105000</c:v>
                </c:pt>
                <c:pt idx="4">
                  <c:v>115000</c:v>
                </c:pt>
                <c:pt idx="5">
                  <c:v>125000</c:v>
                </c:pt>
              </c:numCache>
            </c:numRef>
          </c:val>
          <c:smooth val="0"/>
          <c:extLst>
            <c:ext xmlns:c16="http://schemas.microsoft.com/office/drawing/2014/chart" uri="{C3380CC4-5D6E-409C-BE32-E72D297353CC}">
              <c16:uniqueId val="{00000001-9E6B-D64C-89D5-2990E3E6F92B}"/>
            </c:ext>
          </c:extLst>
        </c:ser>
        <c:dLbls>
          <c:showLegendKey val="0"/>
          <c:showVal val="0"/>
          <c:showCatName val="0"/>
          <c:showSerName val="0"/>
          <c:showPercent val="0"/>
          <c:showBubbleSize val="0"/>
        </c:dLbls>
        <c:smooth val="0"/>
        <c:axId val="468894736"/>
        <c:axId val="469020176"/>
      </c:lineChart>
      <c:catAx>
        <c:axId val="4688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20176"/>
        <c:crosses val="autoZero"/>
        <c:auto val="1"/>
        <c:lblAlgn val="ctr"/>
        <c:lblOffset val="100"/>
        <c:noMultiLvlLbl val="0"/>
      </c:catAx>
      <c:valAx>
        <c:axId val="46902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9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[BA-RM-Week_2.xlsx]Day10!PivotTable2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'Day10'!$K$34</c:f>
              <c:strCache>
                <c:ptCount val="1"/>
                <c:pt idx="0">
                  <c:v>Total</c:v>
                </c:pt>
              </c:strCache>
            </c:strRef>
          </c:tx>
          <c:spPr>
            <a:solidFill>
              <a:schemeClr val="accent1"/>
            </a:solidFill>
            <a:ln>
              <a:noFill/>
            </a:ln>
            <a:effectLst/>
          </c:spPr>
          <c:invertIfNegative val="0"/>
          <c:cat>
            <c:strRef>
              <c:f>'Day10'!$J$35:$J$40</c:f>
              <c:strCache>
                <c:ptCount val="5"/>
                <c:pt idx="0">
                  <c:v>Monitor</c:v>
                </c:pt>
                <c:pt idx="1">
                  <c:v>Laptop</c:v>
                </c:pt>
                <c:pt idx="2">
                  <c:v>Tablet</c:v>
                </c:pt>
                <c:pt idx="3">
                  <c:v>Phone</c:v>
                </c:pt>
                <c:pt idx="4">
                  <c:v>Keyboard</c:v>
                </c:pt>
              </c:strCache>
            </c:strRef>
          </c:cat>
          <c:val>
            <c:numRef>
              <c:f>'Day10'!$K$35:$K$40</c:f>
              <c:numCache>
                <c:formatCode>General</c:formatCode>
                <c:ptCount val="5"/>
                <c:pt idx="0">
                  <c:v>90</c:v>
                </c:pt>
                <c:pt idx="1">
                  <c:v>120</c:v>
                </c:pt>
                <c:pt idx="2">
                  <c:v>180</c:v>
                </c:pt>
                <c:pt idx="3">
                  <c:v>250</c:v>
                </c:pt>
                <c:pt idx="4">
                  <c:v>300</c:v>
                </c:pt>
              </c:numCache>
            </c:numRef>
          </c:val>
          <c:extLst>
            <c:ext xmlns:c16="http://schemas.microsoft.com/office/drawing/2014/chart" uri="{C3380CC4-5D6E-409C-BE32-E72D297353CC}">
              <c16:uniqueId val="{00000000-9815-1243-A90F-F2CCD5CF0EAD}"/>
            </c:ext>
          </c:extLst>
        </c:ser>
        <c:dLbls>
          <c:showLegendKey val="0"/>
          <c:showVal val="0"/>
          <c:showCatName val="0"/>
          <c:showSerName val="0"/>
          <c:showPercent val="0"/>
          <c:showBubbleSize val="0"/>
        </c:dLbls>
        <c:gapWidth val="182"/>
        <c:axId val="986858927"/>
        <c:axId val="843402479"/>
      </c:barChart>
      <c:catAx>
        <c:axId val="98685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402479"/>
        <c:crosses val="autoZero"/>
        <c:auto val="1"/>
        <c:lblAlgn val="ctr"/>
        <c:lblOffset val="100"/>
        <c:noMultiLvlLbl val="0"/>
      </c:catAx>
      <c:valAx>
        <c:axId val="84340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8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'Day10'!$B$41</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EC-4F43-9776-26F06A35A4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EC-4F43-9776-26F06A35A4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EC-4F43-9776-26F06A35A4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EC-4F43-9776-26F06A35A48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EC-4F43-9776-26F06A35A48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'Day10'!$A$42:$A$46</c:f>
              <c:strCache>
                <c:ptCount val="5"/>
                <c:pt idx="0">
                  <c:v>Salaries</c:v>
                </c:pt>
                <c:pt idx="1">
                  <c:v>Marketing</c:v>
                </c:pt>
                <c:pt idx="2">
                  <c:v>Rent</c:v>
                </c:pt>
                <c:pt idx="3">
                  <c:v>Software</c:v>
                </c:pt>
                <c:pt idx="4">
                  <c:v>Utilities</c:v>
                </c:pt>
              </c:strCache>
            </c:strRef>
          </c:cat>
          <c:val>
            <c:numRef>
              <c:f>'Day10'!$B$42:$B$46</c:f>
              <c:numCache>
                <c:formatCode>"₹"#,##0_);[Red]\("₹"#,##0\)</c:formatCode>
                <c:ptCount val="5"/>
                <c:pt idx="0">
                  <c:v>60000</c:v>
                </c:pt>
                <c:pt idx="1">
                  <c:v>25000</c:v>
                </c:pt>
                <c:pt idx="2">
                  <c:v>20000</c:v>
                </c:pt>
                <c:pt idx="3">
                  <c:v>10000</c:v>
                </c:pt>
                <c:pt idx="4">
                  <c:v>5000</c:v>
                </c:pt>
              </c:numCache>
            </c:numRef>
          </c:val>
          <c:extLst>
            <c:ext xmlns:c16="http://schemas.microsoft.com/office/drawing/2014/chart" uri="{C3380CC4-5D6E-409C-BE32-E72D297353CC}">
              <c16:uniqueId val="{00000000-4570-3841-9B26-AC6836AB86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'Day10'!$J$42</c:f>
              <c:strCache>
                <c:ptCount val="1"/>
                <c:pt idx="0">
                  <c:v>Sales</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'Day10'!$I$43:$I$48</c:f>
              <c:numCache>
                <c:formatCode>"₹"#,##0_);[Red]\("₹"#,##0\)</c:formatCode>
                <c:ptCount val="6"/>
                <c:pt idx="0">
                  <c:v>10000</c:v>
                </c:pt>
                <c:pt idx="1">
                  <c:v>20000</c:v>
                </c:pt>
                <c:pt idx="2">
                  <c:v>30000</c:v>
                </c:pt>
                <c:pt idx="3">
                  <c:v>40000</c:v>
                </c:pt>
                <c:pt idx="4">
                  <c:v>50000</c:v>
                </c:pt>
                <c:pt idx="5">
                  <c:v>60000</c:v>
                </c:pt>
              </c:numCache>
            </c:numRef>
          </c:xVal>
          <c:yVal>
            <c:numRef>
              <c:f>'Day10'!$J$43:$J$48</c:f>
              <c:numCache>
                <c:formatCode>"₹"#,##0_);[Red]\("₹"#,##0\)</c:formatCode>
                <c:ptCount val="6"/>
                <c:pt idx="0">
                  <c:v>50000</c:v>
                </c:pt>
                <c:pt idx="1">
                  <c:v>75000</c:v>
                </c:pt>
                <c:pt idx="2">
                  <c:v>95000</c:v>
                </c:pt>
                <c:pt idx="3">
                  <c:v>130000</c:v>
                </c:pt>
                <c:pt idx="4">
                  <c:v>155000</c:v>
                </c:pt>
                <c:pt idx="5">
                  <c:v>180000</c:v>
                </c:pt>
              </c:numCache>
            </c:numRef>
          </c:yVal>
          <c:smooth val="0"/>
          <c:extLst>
            <c:ext xmlns:c16="http://schemas.microsoft.com/office/drawing/2014/chart" uri="{C3380CC4-5D6E-409C-BE32-E72D297353CC}">
              <c16:uniqueId val="{00000000-BFCD-E948-8AFE-1E09BF5563ED}"/>
            </c:ext>
          </c:extLst>
        </c:ser>
        <c:dLbls>
          <c:showLegendKey val="0"/>
          <c:showVal val="0"/>
          <c:showCatName val="0"/>
          <c:showSerName val="0"/>
          <c:showPercent val="0"/>
          <c:showBubbleSize val="0"/>
        </c:dLbls>
        <c:axId val="1063831664"/>
        <c:axId val="154648880"/>
      </c:scatterChart>
      <c:valAx>
        <c:axId val="1063831664"/>
        <c:scaling>
          <c:orientation val="minMax"/>
        </c:scaling>
        <c:delete val="0"/>
        <c:axPos val="b"/>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648880"/>
        <c:crosses val="autoZero"/>
        <c:crossBetween val="midCat"/>
      </c:valAx>
      <c:valAx>
        <c:axId val="15464888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3831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[BA-RM-Week_2.xlsx]Day10!PivotTable3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'Day10'!$E$66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'Day10'!$D$67:$D$72</c:f>
              <c:strCache>
                <c:ptCount val="5"/>
                <c:pt idx="0">
                  <c:v>Mouse</c:v>
                </c:pt>
                <c:pt idx="1">
                  <c:v>Keyboard</c:v>
                </c:pt>
                <c:pt idx="2">
                  <c:v>Printer</c:v>
                </c:pt>
                <c:pt idx="3">
                  <c:v>Monitor</c:v>
                </c:pt>
                <c:pt idx="4">
                  <c:v>Laptop</c:v>
                </c:pt>
              </c:strCache>
            </c:strRef>
          </c:cat>
          <c:val>
            <c:numRef>
              <c:f>'Day10'!$E$67:$E$72</c:f>
              <c:numCache>
                <c:formatCode>"₹"#,##0_);[Red]\("₹"#,##0\)</c:formatCode>
                <c:ptCount val="5"/>
                <c:pt idx="0">
                  <c:v>15000</c:v>
                </c:pt>
                <c:pt idx="1">
                  <c:v>20000</c:v>
                </c:pt>
                <c:pt idx="2">
                  <c:v>35000</c:v>
                </c:pt>
                <c:pt idx="3">
                  <c:v>45000</c:v>
                </c:pt>
                <c:pt idx="4">
                  <c:v>80000</c:v>
                </c:pt>
              </c:numCache>
            </c:numRef>
          </c:val>
          <c:extLst>
            <c:ext xmlns:c16="http://schemas.microsoft.com/office/drawing/2014/chart" uri="{C3380CC4-5D6E-409C-BE32-E72D297353CC}">
              <c16:uniqueId val="{00000000-FDBD-704C-BE53-6B8160CB3A46}"/>
            </c:ext>
          </c:extLst>
        </c:ser>
        <c:dLbls>
          <c:showLegendKey val="0"/>
          <c:showVal val="0"/>
          <c:showCatName val="0"/>
          <c:showSerName val="0"/>
          <c:showPercent val="0"/>
          <c:showBubbleSize val="0"/>
        </c:dLbls>
        <c:gapWidth val="150"/>
        <c:shape val="box"/>
        <c:axId val="224221904"/>
        <c:axId val="224223616"/>
        <c:axId val="0"/>
      </c:bar3DChart>
      <c:catAx>
        <c:axId val="2242219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223616"/>
        <c:crosses val="autoZero"/>
        <c:auto val="1"/>
        <c:lblAlgn val="ctr"/>
        <c:lblOffset val="100"/>
        <c:noMultiLvlLbl val="0"/>
      </c:catAx>
      <c:valAx>
        <c:axId val="22422361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22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'Day11'!$B$15</c:f>
              <c:strCache>
                <c:ptCount val="1"/>
                <c:pt idx="0">
                  <c:v>Sales</c:v>
                </c:pt>
              </c:strCache>
            </c:strRef>
          </c:tx>
          <c:spPr>
            <a:solidFill>
              <a:schemeClr val="accent1"/>
            </a:solidFill>
            <a:ln>
              <a:noFill/>
            </a:ln>
            <a:effectLst/>
          </c:spPr>
          <c:invertIfNegative val="0"/>
          <c:cat>
            <c:strRef>
              <c:f>'Day11'!$A$16:$A$19</c:f>
              <c:strCache>
                <c:ptCount val="4"/>
                <c:pt idx="0">
                  <c:v>Jan</c:v>
                </c:pt>
                <c:pt idx="1">
                  <c:v>Feb</c:v>
                </c:pt>
                <c:pt idx="2">
                  <c:v>Mar</c:v>
                </c:pt>
                <c:pt idx="3">
                  <c:v>Apr</c:v>
                </c:pt>
              </c:strCache>
            </c:strRef>
          </c:cat>
          <c:val>
            <c:numRef>
              <c:f>'Day11'!$B$16:$B$19</c:f>
              <c:numCache>
                <c:formatCode>General</c:formatCode>
                <c:ptCount val="4"/>
                <c:pt idx="0">
                  <c:v>50000</c:v>
                </c:pt>
                <c:pt idx="1">
                  <c:v>65000</c:v>
                </c:pt>
                <c:pt idx="2">
                  <c:v>80000</c:v>
                </c:pt>
                <c:pt idx="3">
                  <c:v>95000</c:v>
                </c:pt>
              </c:numCache>
            </c:numRef>
          </c:val>
          <c:extLst>
            <c:ext xmlns:c16="http://schemas.microsoft.com/office/drawing/2014/chart" uri="{C3380CC4-5D6E-409C-BE32-E72D297353CC}">
              <c16:uniqueId val="{00000000-CCEA-6946-B91C-9AA64D593834}"/>
            </c:ext>
          </c:extLst>
        </c:ser>
        <c:dLbls>
          <c:showLegendKey val="0"/>
          <c:showVal val="0"/>
          <c:showCatName val="0"/>
          <c:showSerName val="0"/>
          <c:showPercent val="0"/>
          <c:showBubbleSize val="0"/>
        </c:dLbls>
        <c:gapWidth val="300"/>
        <c:axId val="454320832"/>
        <c:axId val="454360272"/>
      </c:barChart>
      <c:lineChart>
        <c:grouping val="standard"/>
        <c:varyColors val="0"/>
        <c:ser>
          <c:idx val="1"/>
          <c:order val="1"/>
          <c:tx>
            <c:strRef>
              <c:f>'Day11'!$C$15</c:f>
              <c:strCache>
                <c:ptCount val="1"/>
                <c:pt idx="0">
                  <c:v>Profit %</c:v>
                </c:pt>
              </c:strCache>
            </c:strRef>
          </c:tx>
          <c:spPr>
            <a:ln w="28575" cap="rnd">
              <a:solidFill>
                <a:schemeClr val="accent2"/>
              </a:solidFill>
              <a:round/>
            </a:ln>
            <a:effectLst/>
          </c:spPr>
          <c:marker>
            <c:symbol val="none"/>
          </c:marker>
          <c:cat>
            <c:strRef>
              <c:f>'Day11'!$A$16:$A$19</c:f>
              <c:strCache>
                <c:ptCount val="4"/>
                <c:pt idx="0">
                  <c:v>Jan</c:v>
                </c:pt>
                <c:pt idx="1">
                  <c:v>Feb</c:v>
                </c:pt>
                <c:pt idx="2">
                  <c:v>Mar</c:v>
                </c:pt>
                <c:pt idx="3">
                  <c:v>Apr</c:v>
                </c:pt>
              </c:strCache>
            </c:strRef>
          </c:cat>
          <c:val>
            <c:numRef>
              <c:f>'Day11'!$C$16:$C$19</c:f>
              <c:numCache>
                <c:formatCode>0%</c:formatCode>
                <c:ptCount val="4"/>
                <c:pt idx="0">
                  <c:v>0.1</c:v>
                </c:pt>
                <c:pt idx="1">
                  <c:v>0.14000000000000001</c:v>
                </c:pt>
                <c:pt idx="2">
                  <c:v>0.18</c:v>
                </c:pt>
                <c:pt idx="3">
                  <c:v>0.2</c:v>
                </c:pt>
              </c:numCache>
            </c:numRef>
          </c:val>
          <c:smooth val="0"/>
          <c:extLst>
            <c:ext xmlns:c16="http://schemas.microsoft.com/office/drawing/2014/chart" uri="{C3380CC4-5D6E-409C-BE32-E72D297353CC}">
              <c16:uniqueId val="{00000001-CCEA-6946-B91C-9AA64D593834}"/>
            </c:ext>
          </c:extLst>
        </c:ser>
        <c:dLbls>
          <c:showLegendKey val="0"/>
          <c:showVal val="0"/>
          <c:showCatName val="0"/>
          <c:showSerName val="0"/>
          <c:showPercent val="0"/>
          <c:showBubbleSize val="0"/>
        </c:dLbls>
        <c:marker val="1"/>
        <c:smooth val="0"/>
        <c:axId val="454320832"/>
        <c:axId val="454360272"/>
      </c:lineChart>
      <c:catAx>
        <c:axId val="4543208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60272"/>
        <c:crosses val="autoZero"/>
        <c:auto val="1"/>
        <c:lblAlgn val="ctr"/>
        <c:lblOffset val="100"/>
        <c:noMultiLvlLbl val="0"/>
      </c:catAx>
      <c:valAx>
        <c:axId val="4543602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2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360870516185477"/>
          <c:y val="0.16706036745406824"/>
          <c:w val="0.82194685039370075"/>
          <c:h val="0.61537766112569259"/>
        </c:manualLayout>
      </c:layout>
      <c:barChart>
        <c:barDir val="col"/>
        <c:grouping val="clustered"/>
        <c:varyColors val="0"/>
        <c:ser>
          <c:idx val="0"/>
          <c:order val="0"/>
          <c:tx>
            <c:strRef>
              <c:f>'Day11'!$K$2</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'Day11'!$J$3:$J$7</c:f>
              <c:strCache>
                <c:ptCount val="5"/>
                <c:pt idx="0">
                  <c:v>Jan</c:v>
                </c:pt>
                <c:pt idx="1">
                  <c:v>Feb</c:v>
                </c:pt>
                <c:pt idx="2">
                  <c:v>Mar</c:v>
                </c:pt>
                <c:pt idx="3">
                  <c:v>Apr</c:v>
                </c:pt>
                <c:pt idx="4">
                  <c:v>May</c:v>
                </c:pt>
              </c:strCache>
            </c:strRef>
          </c:cat>
          <c:val>
            <c:numRef>
              <c:f>'Day11'!$K$3:$K$7</c:f>
              <c:numCache>
                <c:formatCode>"₹"#,##0_);[Red]\("₹"#,##0\)</c:formatCode>
                <c:ptCount val="5"/>
                <c:pt idx="0">
                  <c:v>100000</c:v>
                </c:pt>
                <c:pt idx="1">
                  <c:v>120000</c:v>
                </c:pt>
                <c:pt idx="2">
                  <c:v>150000</c:v>
                </c:pt>
                <c:pt idx="3">
                  <c:v>170000</c:v>
                </c:pt>
                <c:pt idx="4">
                  <c:v>200000</c:v>
                </c:pt>
              </c:numCache>
            </c:numRef>
          </c:val>
          <c:extLst>
            <c:ext xmlns:c16="http://schemas.microsoft.com/office/drawing/2014/chart" uri="{C3380CC4-5D6E-409C-BE32-E72D297353CC}">
              <c16:uniqueId val="{00000000-A60A-F442-B25C-7124FB0D41DD}"/>
            </c:ext>
          </c:extLst>
        </c:ser>
        <c:ser>
          <c:idx val="1"/>
          <c:order val="1"/>
          <c:tx>
            <c:strRef>
              <c:f>'Day11'!$L$2</c:f>
              <c:strCache>
                <c:ptCount val="1"/>
                <c:pt idx="0">
                  <c:v>Expenses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'Day11'!$J$3:$J$7</c:f>
              <c:strCache>
                <c:ptCount val="5"/>
                <c:pt idx="0">
                  <c:v>Jan</c:v>
                </c:pt>
                <c:pt idx="1">
                  <c:v>Feb</c:v>
                </c:pt>
                <c:pt idx="2">
                  <c:v>Mar</c:v>
                </c:pt>
                <c:pt idx="3">
                  <c:v>Apr</c:v>
                </c:pt>
                <c:pt idx="4">
                  <c:v>May</c:v>
                </c:pt>
              </c:strCache>
            </c:strRef>
          </c:cat>
          <c:val>
            <c:numRef>
              <c:f>'Day11'!$L$3:$L$7</c:f>
              <c:numCache>
                <c:formatCode>"₹"#,##0_);[Red]\("₹"#,##0\)</c:formatCode>
                <c:ptCount val="5"/>
                <c:pt idx="0">
                  <c:v>70000</c:v>
                </c:pt>
                <c:pt idx="1">
                  <c:v>75000</c:v>
                </c:pt>
                <c:pt idx="2">
                  <c:v>80000</c:v>
                </c:pt>
                <c:pt idx="3">
                  <c:v>90000</c:v>
                </c:pt>
                <c:pt idx="4">
                  <c:v>95000</c:v>
                </c:pt>
              </c:numCache>
            </c:numRef>
          </c:val>
          <c:extLst>
            <c:ext xmlns:c16="http://schemas.microsoft.com/office/drawing/2014/chart" uri="{C3380CC4-5D6E-409C-BE32-E72D297353CC}">
              <c16:uniqueId val="{00000003-A60A-F442-B25C-7124FB0D41DD}"/>
            </c:ext>
          </c:extLst>
        </c:ser>
        <c:dLbls>
          <c:dLblPos val="outEnd"/>
          <c:showLegendKey val="0"/>
          <c:showVal val="1"/>
          <c:showCatName val="0"/>
          <c:showSerName val="0"/>
          <c:showPercent val="0"/>
          <c:showBubbleSize val="0"/>
        </c:dLbls>
        <c:gapWidth val="100"/>
        <c:overlap val="-24"/>
        <c:axId val="454757104"/>
        <c:axId val="1429374431"/>
      </c:barChart>
      <c:catAx>
        <c:axId val="4547571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9374431"/>
        <c:crosses val="autoZero"/>
        <c:auto val="1"/>
        <c:lblAlgn val="ctr"/>
        <c:lblOffset val="100"/>
        <c:noMultiLvlLbl val="0"/>
      </c:catAx>
      <c:valAx>
        <c:axId val="142937443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475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'Day11'!$K$2</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'Day11'!$J$3:$J$7</c:f>
              <c:strCache>
                <c:ptCount val="5"/>
                <c:pt idx="0">
                  <c:v>Jan</c:v>
                </c:pt>
                <c:pt idx="1">
                  <c:v>Feb</c:v>
                </c:pt>
                <c:pt idx="2">
                  <c:v>Mar</c:v>
                </c:pt>
                <c:pt idx="3">
                  <c:v>Apr</c:v>
                </c:pt>
                <c:pt idx="4">
                  <c:v>May</c:v>
                </c:pt>
              </c:strCache>
            </c:strRef>
          </c:cat>
          <c:val>
            <c:numRef>
              <c:f>'Day11'!$K$3:$K$7</c:f>
              <c:numCache>
                <c:formatCode>"₹"#,##0_);[Red]\("₹"#,##0\)</c:formatCode>
                <c:ptCount val="5"/>
                <c:pt idx="0">
                  <c:v>100000</c:v>
                </c:pt>
                <c:pt idx="1">
                  <c:v>120000</c:v>
                </c:pt>
                <c:pt idx="2">
                  <c:v>150000</c:v>
                </c:pt>
                <c:pt idx="3">
                  <c:v>170000</c:v>
                </c:pt>
                <c:pt idx="4">
                  <c:v>200000</c:v>
                </c:pt>
              </c:numCache>
            </c:numRef>
          </c:val>
          <c:smooth val="0"/>
          <c:extLst>
            <c:ext xmlns:c16="http://schemas.microsoft.com/office/drawing/2014/chart" uri="{C3380CC4-5D6E-409C-BE32-E72D297353CC}">
              <c16:uniqueId val="{00000000-2CF7-324E-B4EA-DA4987EB885A}"/>
            </c:ext>
          </c:extLst>
        </c:ser>
        <c:dLbls>
          <c:dLblPos val="ctr"/>
          <c:showLegendKey val="0"/>
          <c:showVal val="1"/>
          <c:showCatName val="0"/>
          <c:showSerName val="0"/>
          <c:showPercent val="0"/>
          <c:showBubbleSize val="0"/>
        </c:dLbls>
        <c:smooth val="0"/>
        <c:axId val="435205456"/>
        <c:axId val="1302055232"/>
      </c:lineChart>
      <c:catAx>
        <c:axId val="43520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55232"/>
        <c:crosses val="autoZero"/>
        <c:auto val="1"/>
        <c:lblAlgn val="ctr"/>
        <c:lblOffset val="100"/>
        <c:noMultiLvlLbl val="0"/>
      </c:catAx>
      <c:valAx>
        <c:axId val="1302055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'Day11'!$K$2</c:f>
              <c:strCache>
                <c:ptCount val="1"/>
                <c:pt idx="0">
                  <c:v>Revenue</c:v>
                </c:pt>
              </c:strCache>
            </c:strRef>
          </c:tx>
          <c:spPr>
            <a:solidFill>
              <a:schemeClr val="accent2"/>
            </a:solidFill>
            <a:ln>
              <a:noFill/>
            </a:ln>
            <a:effectLst/>
          </c:spPr>
          <c:invertIfNegative val="0"/>
          <c:val>
            <c:numRef>
              <c:f>'Day11'!$K$3:$K$8</c:f>
              <c:numCache>
                <c:formatCode>"₹"#,##0_);[Red]\("₹"#,##0\)</c:formatCode>
                <c:ptCount val="6"/>
                <c:pt idx="0">
                  <c:v>100000</c:v>
                </c:pt>
                <c:pt idx="1">
                  <c:v>120000</c:v>
                </c:pt>
                <c:pt idx="2">
                  <c:v>150000</c:v>
                </c:pt>
                <c:pt idx="3">
                  <c:v>170000</c:v>
                </c:pt>
                <c:pt idx="4">
                  <c:v>200000</c:v>
                </c:pt>
              </c:numCache>
            </c:numRef>
          </c:val>
          <c:extLst>
            <c:ext xmlns:c16="http://schemas.microsoft.com/office/drawing/2014/chart" uri="{C3380CC4-5D6E-409C-BE32-E72D297353CC}">
              <c16:uniqueId val="{00000001-B9A9-9E47-BE84-8248243A633F}"/>
            </c:ext>
          </c:extLst>
        </c:ser>
        <c:dLbls>
          <c:showLegendKey val="0"/>
          <c:showVal val="0"/>
          <c:showCatName val="0"/>
          <c:showSerName val="0"/>
          <c:showPercent val="0"/>
          <c:showBubbleSize val="0"/>
        </c:dLbls>
        <c:gapWidth val="150"/>
        <c:axId val="540625183"/>
        <c:axId val="540390847"/>
      </c:barChart>
      <c:lineChart>
        <c:grouping val="standard"/>
        <c:varyColors val="0"/>
        <c:ser>
          <c:idx val="3"/>
          <c:order val="1"/>
          <c:tx>
            <c:strRef>
              <c:f>'Day11'!$M$2</c:f>
              <c:strCache>
                <c:ptCount val="1"/>
                <c:pt idx="0">
                  <c:v>Profit</c:v>
                </c:pt>
              </c:strCache>
            </c:strRef>
          </c:tx>
          <c:spPr>
            <a:ln w="28575" cap="rnd">
              <a:solidFill>
                <a:schemeClr val="accent4"/>
              </a:solidFill>
              <a:round/>
            </a:ln>
            <a:effectLst/>
          </c:spPr>
          <c:marker>
            <c:symbol val="none"/>
          </c:marker>
          <c:val>
            <c:numRef>
              <c:f>'Day11'!$M$3:$M$8</c:f>
              <c:numCache>
                <c:formatCode>"₹"#,##0_);[Red]\("₹"#,##0\)</c:formatCode>
                <c:ptCount val="6"/>
                <c:pt idx="0">
                  <c:v>30000</c:v>
                </c:pt>
                <c:pt idx="1">
                  <c:v>45000</c:v>
                </c:pt>
                <c:pt idx="2">
                  <c:v>70000</c:v>
                </c:pt>
                <c:pt idx="3">
                  <c:v>80000</c:v>
                </c:pt>
                <c:pt idx="4">
                  <c:v>105000</c:v>
                </c:pt>
              </c:numCache>
            </c:numRef>
          </c:val>
          <c:smooth val="0"/>
          <c:extLst>
            <c:ext xmlns:c16="http://schemas.microsoft.com/office/drawing/2014/chart" uri="{C3380CC4-5D6E-409C-BE32-E72D297353CC}">
              <c16:uniqueId val="{00000003-B9A9-9E47-BE84-8248243A633F}"/>
            </c:ext>
          </c:extLst>
        </c:ser>
        <c:dLbls>
          <c:showLegendKey val="0"/>
          <c:showVal val="0"/>
          <c:showCatName val="0"/>
          <c:showSerName val="0"/>
          <c:showPercent val="0"/>
          <c:showBubbleSize val="0"/>
        </c:dLbls>
        <c:marker val="1"/>
        <c:smooth val="0"/>
        <c:axId val="540625183"/>
        <c:axId val="540390847"/>
      </c:lineChart>
      <c:catAx>
        <c:axId val="5406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90847"/>
        <c:crosses val="autoZero"/>
        <c:auto val="1"/>
        <c:lblAlgn val="ctr"/>
        <c:lblOffset val="100"/>
        <c:noMultiLvlLbl val="0"/>
      </c:catAx>
      <c:valAx>
        <c:axId val="540390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2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465788CB-7731-104C-B81B-FEA17EED0B5D}">
          <cx:tx>
            <cx:txData>
              <cx:f>_xlchart.v5.4</cx:f>
              <cx:v>Sales</cx:v>
            </cx:txData>
          </cx:tx>
          <cx:dataId val="0"/>
          <cx:layoutPr>
            <cx:geography cultureLanguage="en-GB" cultureRegion="IN" attribution="Powered by Bing">
              <cx:geoCache provider="{E9337A44-BEBE-4D9F-B70C-5C5E7DAFC167}">
                <cx:binary>3Htpj924te1fMfw5clMkRYpBOsCldIaa58lfhHK5SiQlkZJIjb/+7vKULqc7eckLHt69BzaMcyhR
FPe01tr0X57mPz/Vz4/9u7mprf/z0/zrexVC++dffvFP6rl59B8a/dQ7717ChyfX/OJeXvTT8y+f
+8dJ2/IXjGL6y5N67MPz/P6vf4HZymd37J4eg3b2Ynjul8tnP9TB/4Ox3x169+QGG15vL2GmX98f
2M/68f27Zxt0WK6X9vnX92+ueP/ul5/n+btnvqthWWH4DPdi/IEkOOVIEPH18/5d7Wz5bZiLD4QR
GiORoC8f/P3Rp48N3P5PV/NlLY+fP/fP3r/79u+P294s/Mev2rvs6ztn7nWJB6df3umXt3v617/8
9AO85U+//Gbbf96Sfzb0B7v++LnRNtc+9PopxL++P3kEiz96FfqfTPLmwn/RJLH4QBOMUpKIr3se
vzUJ+xCjVBBMvxkseWuS36zpT+9+xz5vl/b79vm9Od7cB6++f/8Hm/Q/yH7Xj42u350+fh6+7+HX
iHrzrv+q+eIPKGYxQmn61m7pB4o4wijh3x/2NYb+toh/216/M8WbV/j1/TUE0f/4cMufa6W/b97/
vaVw+oFRQgRi7HcDjX+I44TyNIm/Rhr7/uivdvuymn/bZG/v/sla+fH/AmtdP9ePtny0/8nUyD+k
CLFExD/FlviAkEipSL4lRRj+WiG/hdj3pfzb5vrxMj9m+Mlk17v/BSY7euztY3is/pMmox94jCim
FP9ukEE1Y1zECcThlw95a7kfK/qx779FPm9s8BV2/R3W+PsZ3tz16/uj//p/a7k/Rik/gFoORth8
QXi/ASr/ePQ7wvnp1jdA8c2Lf9/ng8+/vucUsAZLY4xpnGCSxBgwxw8c+Trlm3DKHwH2vnu0n6F0
lgCZ94/jc63f/Rf8kD82j/bLUK5/FNU/fMTzow/wdPIBYw54JqZJgjgs4/276fnLCPqQ8jiBkkk4
QZS9llTr+qAAuKIPnJIYCxiAZTMk3r/zbvg2hChlMB+8zuuU6Q9Efu7qpXT2x1Z++/7ODs250zb4
X9/HBABV+/W6bwtPUwLeG5OYUZxwAYtonx4vAfa/Xv6nrjCTKdlKN8V0MyzuRFzH23KrSNZrqYss
NZlOtshfkhs7SzFkq7nxnd7q5q6YQ66LKEtHmqGq+SiKMa/UXjVeDtGWp/1ubFNZ+OZApZ+Wmeaq
LY0c9N0wfcQ6bKKlZxKtV6SN5ISXM6L6LYkO2/Sln7N6X7DrEZ+Wn5WtpU2Ol1BJO524fsgK9tJY
llU9liqSOmYHiQmNFCg+HRubL1OU1WrZNawyks1DNlOzTaIdYqbfmjiUANDr01l9tGKVzE6fkLA3
PqCLpltVrkueyoQs7cZzk1H7FOozlo5BDmMVZGy8JOUka9XJfpETx+exMVdlvR4Q0m/RgvcRbQ4r
xOqMNcdkjk3m2/bMD30lu7LPhyjaMIPO67iWc2uMjIh7TgZqM9vRB2SiHZhpM7py40QpTTFtqa+2
C12yPsy5YX1eV/6E6HAeGDmNC/JUcXY+O1jrtCyJbGN8O+vlxkXrFjdiU1JqpElpLBXjjWQjzFoq
fV427SA74b2kqT7t/JSZ+eQ3YfN7vhVDenvrWxB3gAoRj2NOOWM/+VY1Ij9rF4nNvDY3fYhcRqk/
n8dkrya2AZrQ5TVnh6Gyu7o9S5p5l8T0KDTpkC+IjLLxo5VFIQ6YrvdVhLZ6mLa9qQo5FOScjG47
z8kVoUkvjfF5R/RRZ4/QQHd9a4/iZRtH6cYurWz1epHUap/yadPH4jSACdtFv9A+uUyqhwi2uRiS
TPfNtjTVtoxV1vch7yaSO+OPU8FzPLu87KN9u6LzPum3I6HnCxLHjJYn8zJIMTe7RoVr0xYZuORu
FYc0/siSUZp1OOzYeorcZGXkyk5yPispwCurxW7bUR+n9oR39S4qepk06acmLPu6Rvty8iXEkkdZ
NazH6xw2aVo8Lm2ydXaQDUwoB6S9jOLlENLFHcblqbHXuO9P+oLufTxd2/njapL5qMWLy4yN+UNX
kEFGqr6PDNmoNt4xAy4yMbqNmdh3pP+MZljj2Cxn5TIUMi1ckotAhqNu6mTL1o//2E0w/R0vIVwQ
4BRQRQUFBvHbDLQ6lFb9ZIsNc9VzGQ13BWxf0ccfu15l69gfxry/7IrqdB3Gs9L3B2aaT7WmMq58
tw0dP64SYXLj24N+FWcKN5C7wqVPhc1VqM6NGl/axP4T7wYs/dO6GWRu8G9I4FBggLWit+v2bVe3
Y2yKTcd7Lg0mh0UFC05cNg9rLfs6kUWt0l2AvNiWbB81kKS6eHjEfDu3dtepepE8WhPZd9OatZyD
z5Z447De88FgiVl9uujxChLrjtTzuTbDVRvFNysp86bHn8tkvmqolwVJQ+5UH2ShK3gwC24zpymk
xhG/oEENsgwhOibNFMAZ2yDrdrpU43g+pcNRy4pSamZP1FiYLWPiY8fXWJJqvGZxfTbWdJVD0r7Y
yKhNQtrrKUQvQpE6SzV7YVF95Zm5b1a960dfb5P4pa31Ts1lJiysoOwOek/lmoosqOR2auIdSSch
ef9pUtHBolPpmmnjY1miKUOjynSV3NkWy0mrPS3mTZOEExTpcx+gerQI5yYV+yi2lVTDcGf6cNMh
DHmc3q9Vd1Pq+WzAds3HIWRrFPbEdFlXon3S2atETXtUrtIG81Sg9qpW4XDAJGcY4t0kOTPpeWnR
gWun84mmOa7TqybGoxwalg9IbEQsMl0m21KhLZj+GMX1ZhonqDL6rp67/ciHTeBtliwnyB2HYt34
JdkGUWc11zL292a9KhjJKp3majgSbXVgbHHXwxbuFl7qzBTxtrPNLq3WjZpsI3sSXiqlsjmw8wHR
vOvNQ9esQQpv7B7jGmUroZ00jIc70/ALV5JeRl2X236apGjHc52Yp66mo4zwi06bgyISd9TXsojc
57SMtu2wWulccWwhDKUY3Xnoqj1ek61x7VUzscuqNEcUL1O+Fkx2a7JkUR3D/SEXbth6M+VF6S1U
pnuDpz2Z530zKCErqxtZhOaGKHtf+uR47sltHVInE3afrN313AxhA1590BX8ZcXkqBgU20x+YLKO
y6NlZlwOYVnyvkzrTULX46qEqsXcWdMBvOA9eqR+rTd46i8dWR6rTllZDeEe1UTJ2DKXabGc9zTc
jGt6OPJWSYL0JqoOKpzcMh7bLMRzhpW5jj27H/BwhOb5UzOvQka2zuOa7KNpzmeEzhtW5lVS3DZh
kmlfZT0Vl2yITsrqYe1W6dIhE4U69aO+IM26WcDbqWlfVo3lAjs2z+JqXsgd7vTOhfWgj7vLIvo0
VumLWNHHuZxliedtPIgnQ3GuGz5mZZJcFuK54VAyxIZGp3162sanCTmzw6UZ9XkfNflAWsnI5bhg
GUx608w+qwB1uDVklhE5tnOOzXOll52d0k3l77m4nhIl9UwlqV+EVnmMH4byipfNjqW9TOlF1PSy
9NOlGzC4S3Ri0OWMdSvVeoyKWvKFygA1SjN60PNtQptNpSspDIP6cBZPTyJps4aT+zCkki0Q1xW+
T8V5M08Zry9QOWgJufKuK3CVDTrJS/1p8n7bDC+zcVnTik8zIfVWjP5T1LK97st9pePP42RCNgjV
yMqJfOmqUiZiyvHSySBcemBUxWU0Cp+nZXOrl6jczHihn6MexzKN0twRnm4ntx4lvb1WZcfz1cTX
oooe3LLcuWq9XmdzvhaBZ2Pb64xYQg/KUNUbW6d2w5kd8nGyoEWtu3Tl+xB5yRrdZygFOFWq+Sqi
XSl71G4mRGVjpsfAAA7H/QGbijgbgpUr45+acTwUk3pOl+Fa2LbNOoP3xixl7jxAE1E01abgyEgc
FbkZw3VNVoB2zQaA+rFryUuF6szEuzKwQ0pdHrv+pJpayL70RHXJ6bKEXUo6nNOClNueLkrSKYny
qRM6D0kfZZ6KsKmraJF/UmuBaz4ATGsTcV5hgyQgsGuNmvt+La1snKrAG4pLouJD2Bu9KcQyStwW
i3Sch4zbYZAoSuEhDbv6gg6+0cRvKPIrY3ly7dLrUn1rI/z4+tdr18CfLwL43358+xVm+DblK597
8+XvqOYfkMmvLYw/GPw/Y5qgjNIU01e29sf88hBU9UoBv/wtR/3NnV9pY8o/iARgueBCpN/I4Vfa
mJIPBOgiBUCSCMKBz30njckH6HWkcAMlKcDtBCS976Qx/iA4xkIkPElRwhj9V0gjj2GmN8CeCZIS
nKYIpqMJI6/jvyGNqEGmLKJl3TUxXfusHpCzMhYxURs/JIPIUFKwO18uqM59z4Dstb5KIaEtfRnn
3mMKuL7txqsJTYJIngSoknXUnKTzELbxpMKlmxYrbeyAmCQNpON2qfVeDc4ewYKavKFu2k9iYNPJ
kqTTfMwc6o9aoMf6LBmGUkjBiNJ5XRuujnrOPd4Y5epLakOyyLVZliVL+ErwZu6QFTvH1UqkMxpA
+lAmkKFSY9I9cMNk3FeAjS7HIen23RLxKo9ne59YN4tsKOLhM7xcnFWph9TISjJcc8+SKYPYrQsJ
iKfYTUkLBC2a2OQkVHUCKZONEJik426r1wlC2M+FPtUhRpOsVEebvORANQ5xVZBKFtMM9NekVcH3
hscE7elqrN0UPdU8E2xic6aVjT66oRBCAv/Xx65w5rFrBn3sMaJI9s5xfTRjjtY8rZdgs4bwnuVV
33su3Vik9+XkhocaVxOVbAjuGa8ReVGUR1EWhbY9Lla9nMzTCKwkJMJ3cvBiWWTSztU+jvB0Hq3R
eGFI3zyRRkUmq4wq683STdG97+gS5UXHvNvRzrPzCCdFm2Na1pAT/biWWeHG+tqRelwkCij0GV1Z
6zJfp/ELaxGgqDKK64eVB1Jsh6gTALD5anZa95pkqu37QhperYDXAOMcxbptt3Frxxz3vjtvl6g9
V2Pf70lw3aUyKTrtZp1EgIlNM+V1kkB5TJr2Efkwn6LRkCFbugVnruXVYdQHvGG0ajMxtz73Oh1b
uS522QXaua1LgG6qsprv+FIA+iut2Puk8rdz6/QdFaYF4WBNpywFGnTfFGG9it08n9sS6gMN8whF
W0xnJk4rSMuJzmjbVSdDXIvtAHPteD37vIgnu/M+pDkIBigvPSxpWnu8WSK9nkRD6aQr+uIwjoPb
40aJrSXM7hKkmts+pm3mUnIDHdFGIoZn6UUru/FoxBAGUjR6kQAZq0sxJuRAK3jTaUBprlPtj7qi
Rzmk/uWmLW2bsWGYD0mwRCq+jlmHmF+g0PciixsK+1/hojyPk3i9IHhM88Wa+Qx8nexabHibK5fY
l3Si4WIoWgD0QxJfreW03gLuYPuap4vYTqbjoyRAlG5rZfEddaa9rVwYXgbVm1sQ1qCkpsOeVjC3
QYWeMl8BSF5w0z10uPEXtqHx4yQKIGQd5uIK6wFlVtUaZaYZEg3geKkrORtiNhNZ1rwkDD9OqwmL
bCNPbzDuyjM61lXeT2PzaS4NP0t7wj4aFfmNapKizEfmx0uS8mK/tDo+0I2rP3MPBVI6oCWtDFGy
nBlugRAKBHAQ6y6+fXWEa7Ly9UXxaWrzdEL1zdohfrE08zl3OhrlrELTZzyJJ3jPqBvzGqfxAyGl
inYDnS1w8rouTgnhw+ECOeKymHX53KhqdqDyzMtdJWwdpIfUvCeswiAmkQKAQ+9WA5YnnZK+wux6
EDbG2TDoNVvrpLzsm9I+sp5C9I+DbQHXtvU50mzEWStsL/s4nY8TXIY4K1e9ApMNIqeIVZJqYGs4
RT1AHPCBvl+6bQnSY5C0oP3hipKuzfu6Z3Fu42Hd10uadCDPqOE8jUk9SVdBkLQsoTpLA/aXJa67
nXazcnLUg78yptMbxkh3gIxgR4TVxWVZU/pQ9LY6tGgtPkaTv0JtMx+bcpgI0MXFXIieVc3eTZWW
o18xUBJSDgfV3ONFxtGCD+J4IcesSsNJ3VUKeBoT6qxKZnEqcALc0qzRABsBTPhiYoDP9qBehqsC
6fpajWXyEZto2oxjyY/iVKELYs10qKlgxzUem0NdDU2ZRYNqN1U1i7PGLst+dHNyWJk+6iHIRuB5
NZp0tAk+sGib6k4n2cREdwKhgG+Y8u6i7Ex5hMPIDheAh4+z78RjVJNh1wkEa55AfvwchwDSgtP4
eox1ulmp5Zu0U+lx2fftU1mU06NozQpojiQhzaqo6ga5jlO/Z4s2wNZDDVQjti+Fd6BXvqKN/RAF
sh07Ei05TnxyEIrZHZupIlvXve7oQrSSfErcNqzLcqDUWF1EnEYs61HatFs9V1Bv01Z0p0JBegEF
JGlAjQTa/BiRupilanBxqcIyvJAxaYazuBoAcLqUViNUT25PCg1SmR30ctE3i4HK3vv+wjreiMw7
4WXcGE6zykOps+PQQfEaWXXq/VxuuWrcoUp8XUtKDP7Mm6kAvQwPE8oKAnqhSJZJbDEe0Q3jtb6F
ml1p0I/aADRHuPGjTaLkqK7TdiegdXcjVM8yEKQGm6XOlDar8BAd1bpY0YEevb0mtiNedsGbo7WL
ED1SFlifaxEDGpn0B9oz1srEW3c4+qk7Co7jyxml+JAKVW0Lj6IsTstarm6dzlfrYUMEJF0Z8RDu
EtG5F5WO6x2aerarQ2cP/JrWuVlTeymKjh7znuBKLsyzu4B7EH/CRAAOJSVNigPTt+xEK6VP66Kr
7pyI2QkAto7uis4Oney8qI/FMqQPYtWznDW7R7RudwurgEa+Stu6pGsu+pZeg35YHSjW1NAXIC2I
PJZ7fmNYGOymrQWIQElVP1jQdW4xpM4WJLK+PRIqFhsVVoRkteJ5j+daHTLthoNlAbUWhw7EvyIC
qZeAxh4ZozOnp/HjAizPSF1RltWEVw/p0tsAEhBJ932B0lOyDArnXYzG5yLxYjPMJusBGG1Qq4mM
iX+0uk330wTuP4QqOYpDek2Xot9NYryK+dje9bSGngXtQyn5mELGMmOCdnPkQWd1dVlfaXCTu25G
M3RGxnWvp2hsNtBZ0Zd4FeN8OEQgREJ3oQ3lxsIZl3vhw/Kp5SnWcoGsHuRUC8jqpin8sF99W6gM
+BDQx7LmPgMzr3IGIdpD2m7rB92xCTZRjKNcMJTPXWFwnK1qAE1zsRCpwi1F7pYoOmdOX9eo5Oel
pgVQN8OjzBFHDgY6DXls3FxAMnTRc5s06DpUhuxNvUDpdWW/LZGiWa1Hcj1RoPvGbFcKlzc+OfEN
QscNmuhmanoiZ4Eaya1qDpoY2Ywvc3nu09DmEYtPeaPjUwZQWXY9mi6Kzunjaq3jbRXpSIHQAjVW
TgVWSca7iedj4fB2aIQ5jee5Py67Zqo2kVdJs2+qMpz0K4BF4NIJu03GpMZyDU4RYPs2YkcdAMTb
oexZmpOZlrcd5DqoYEty2fIJm5wMgBK3cWfrEYSqVEQygW7bjQGF+BQaJeq85CFiEBXLAhrJMq+H
aT92957F7Cat2XLMal60ktqR3XrmkgtIdjEw+g6pBwhgtCXLZAFCR6SBalrbK77O5UlbJT1k1OBw
LtY2PcTw4i+CjU3I1VTyLq8Abx7YqSm1rFcrfEZ58GjfNgFviSde7Zu6JRay5hJH+eCTAsmyxl2X
ragBK4WyJBkdPNcbDmescNavNHqMIuqvbFmsJAuA2fO2sc3ZyuvhwXG2tHk3LvZkSHnW0ZSFzJsI
IM5CR3SWelY/+GoGhqaoMc2ZtwoROXRdneSJoiBiiKgo5jwe56nIkFWe7Oc2poA0wZX3xYjFXcEH
IDojLwQIMxxcNWuGzrvDqKZRlbd2QaBQrfGd9xEtd4Gh9Egs0zRnBpcaOlVps1w0rl+GLTWOvvie
lm7Xdk2/bAsUeCmhrVqGvC7BOc4CoUA56tpB0yJV8QpFrxYT1KrlEmJmgtZd42fQmlfAGpD9j4Ia
9/3Q2KMZ+qB3kJaSS+agHGhTiCM7LgFUucpXgKbWu2kteSSF0rOH9AtaU69QvUpISSuT/yld4/Ws
5ncl5K8n349lvpU7vqgUf7tq9+xej4L4ny96lUR+XPX/l0QCTZ4/lkgypR5D0B7a7+r3VJLXM2Zf
musphWNnQF4TaGLzVABr+d5cT9EHnCRCMI7ggGecvI5810konDHEcOpTIAEtHBbDdN90kphD3z0F
xYWB8sI45+Rf0kkEHCx4q5OkCac4FjjFr0dQoVf/VicpzFjB33nLqVN4O8ce8J43ECGLsCuWpF29
2fRVbFM5lsVioDUIcnxOZzxHMrBAs0kwfGynGBDR4FrQJoqmO044r68qqD/XSVyog3J24zlrLAgd
DUegKyS82fm5EhtO2kp669XnkaSrysRSpyoPiqh9MbP6FvS9usmK2qZHZWzpmCvM0iyeiuWCza7B
sl+vyoEs0ErZ100Dci5A2mQz6L4/UtBgy+YUEPJ2ccNQZcUMfSYQeJdo2lk8dafaLR5WXK/oqkh0
fU/mubxy2NmcIWw+delSnix119Ryicb1U+lE8nEGvQHE5QGOJoOsn4m4gu4+Fho6ITXLnIkrnJm6
sOez9/VZu1ZmYyPYHYvnoxKFdhM3Cmea9Hgbo7qEZKnbfHUs/pTqdG6kBYkElPJUV8edYtUngNnr
LKuyFp9LF5U3mBmiMsNFQaXmEY7zEo8WRFM0bQSpqEQEgJExJT4ErSjKhspBWmZmPJpdf7toWxQ5
x7Ou8tVbOMdgLHLZOncWEuxakZwgxk9AtjKP2tLmGeECCWidLXAIorPATyQSiz9eRQxUKPERkU2z
YtiHMZRzxmwZZAlHBmpoDk7lSYBW2uEMCvKD8oUPkHfrBb12o1wnCceAwSOn7pu6oSU0PrDaEw/P
AboDogg0e6ApB4W2s9Cg6G35qh2II6dEofe1QiBr9XZSW4LdvB90BBrEwJckwyVbNrgdHCABklbt
pga3vgmU4PNKG3pcsMFfK6vcY4mIghMYwXbiKJTgihlP5/apa5LlwQvl4jzR/EvfoG8/xqCNg6AS
s6TaGWN7gGREnFMagwK+tpM4NpXz543quk6mVgFnFXPaX6TMzreevjYsigZFz0NrkiRP47i/p7xq
PjHoFu3SeYFxh8V07a2Fil3CGYNZ9sGoZT9hDqdIxkjZo2CgUE01nnZRmDvQ86fpFsS19jIJDg54
xPY1bqtuz1MVjaDQsAGUlFigvINWbJcVCFefSgiu11sL6JDRvq67PXToTb+hI0sPxkSz8zpKokZi
Ws/oruwWdM/A5ZYN6ty6A2oHBkwHB6smwI8lqPiolB71Uyx5l5aAGpWXZcGeixqvD1M5b+LCZdDb
JU9uFKmGXovpPyUc/idABgeI5od5NDbvBjWDeuan63ka2mOVkmJfJRQf2qYGwTMpAwxzXW+6ZfZ3
q+dUvcpLFPg8SJZmDu4QdEMWJFlYm8GRCgtnFwjAszkF5WNRO1j3unHQEc/GacayhcM8u6HrQdrD
vLgV2DSZDXAKIGeVYFkUDx7aYqFvu2wqmy5Xq4V6TleN4qyZ5sZtcFHRBjpznX42Q/vf7JxZc+w2
tqV/ER0ABxB8JZM5pzIlpabzwjgjwAEEwRn89b0ou6rsqlu3u/qpo+M6/HRsxZFSAPbea31ry5cl
lPJESlqK1PSeW8WO707vDi4KHFPXQ9tVGjN8KK+Q8K6c3qFxmS+42osKVvEvVxYzZKGLWC2wxKgD
H7wPAzwsw8CGB2NKtBW21vrQq65770gIjkPVP0o1FgPMVLzTY1Wxk4xKSVOOVh8NaWReSO8Wl4W7
8FAjOY9vfibas5dJ+UHHsFjRJZiBg+sE6O/njDvwxRTJE2OW8HtX82ovVP+dmBzqHK9HfUQpCcpE
FJX54TsinGKnHcyCD2+aLjmE7T6J0LQGmw7cUZc43cBl4k+F5jF+ThbuhwjMQdwVgnqbkkTdT+t3
uk+mGRrv0qDK+KPat6o1x4zl9VXhkyJx3gRLvlFTVfY797MN1WtH6uesJ3v12agWwkPTSisWGFis
XoU2NyI+hFDSml/zZPmRrG0v7bpuiPnaDMP2rp/rzwZ5yfN5U03GfORhh56yiTh/7JvWfbWhRpvN
TOmeidTuS7R24aEu+JEXlVj1xbVN543wrk3P6ytbu3hjwxIfd8FwfMJurLytbWipIMqOFxv2bEn8
dSaI6EDUBmwU/UUMofyE7xADBPscJiS3/KOfOdEoUG53wb3F4JGBkcPDMAXsjrepPY/reDKtg4rH
abiZP6eX2WmXJa4+p5pqHXCcddQpbBa+2QL6faVndS2LiCTo3Js4mnR+czkQL7lQeivwIiVUS4Px
hZQvDWbnDbXDR0NC7943o38r18lsWGc0s05rZp3b3M8RzhXusGnWua74HPHkOu2pde6DaHjXmji3
bJ0JwRVhPBxlUd6cdWYUfqMHAGJ10Meod4tMc1LXNu7xscnEhgUk4azi83oSKq/5mvM6g5AEH2Q7
huWQdAvcFgzu4aEXaB3Galq+V5LmG2cxRZvUg5ZXzarurJoxTJuJ5V/yvv1QGGh38xDNuyyHYBLC
Kv2aDdbfaA6dGTBWvXNMsOyDUdZb40ycJWCEnLSeDETjQXp14sIsai9hoNSXSo5QUQFYzjwlVUmr
bd0S/1CJBo9LB0vsMMi8v5tl0vvaaeUlKkkLSc2GuHOiyGEal05COt/b+XiAEu2q8R6gtDz6ENJE
0kGdymJZcpZqMnVfF1pMF955WZHiRZCHUcPeF2R0n4k/NDc49cUY9yIIz0SM7NkLpDVJ5Zd0N3We
uyv4zB/sQkR/qjuIhdB/ZXVhRVh9bSDhfQy2LJ/6kEa/WgNFA1UZrUSiZRN4KTUlKANqWwcsiRjq
6ga3HsRL4OFXDL1ryvZt1wOB6n1t34BqwB8rbXMrmxoig9+FJo+9jnpfwfsRtukLIV+Z3wGwnCKu
nQcIUfLki2LZdMGUZTtPhqpOinyw0yHKwk7ve1uwt9HBjaxVPj6FwphdXyp6nVzpmqQPuh4UnoPn
gdWh2EEF6j+ELfVja4UTbVxY/MfBEHNissRdXYQqzqH17LllZhoTx3OGRzSwEySnaJTvkvatiKtp
7OfYL6V3J8Vs3jy3aG4AXcp0Zu3ywAcm4C0Evj9vAoAw6AnbfFGxVeEP7fuNinvp2gdnzOpj1NRk
h2Efxko79U4KaYp9Xxbe0w2HH/61l31jk07VTurbZvxWuFXBt5HXDduplNG+GJbpEcQnHX7/KY0f
1knjm/EjGsO7V/QAlJYpeMPl9PzY5HVz4xArY2nUC2Svp0qqfDNXojtHmNtxZzMfB9AfnV2tggh6
sG36DTQi/OKzjEVvDW1RQbJmEmUCAlTlcehy77VgmTlHVOunSGv2NCrWXDC8VGd4qyD4eBYU4Ew7
/r20i9wtpRO0CaiZ4GHmDLJRV/XzF55bYo969ka7LyM6lkf4KcBPmRB233tB8D2rRLvLakCrce1M
aC5FEzY6dlsePdRGLHuKyvXTASLzU4isHdKxKOEiDAvh7YapFecIRi93d66O8hfwF+7W0VXxvjjO
8kQilUFBtjpCbZPjKy0j+QSVoHqAWLvcltzrf3qfxbfNQNfig9foIUT2ZKXtvs2ad5ewrps7PJgT
NUIwCMYj+yp1buYUlJb0UpLBRk9cBgxzBEZ05WU4bcgkhIxlDgsPFmIQAVGo/bLcD0OxHObRdHg0
jFZFXA1u8E4ENTN0j75rY5KDgzKENN99x/T7Sbf5RQ+tfszVZN7aaJE/OhNE+6ou6etIiV2SGUrY
IRqHbnWvocAnqu7FwYn8xTmUtSF7N8znU9l6lsaBlf0XCY4ABHDbD+dceqrZlYz3PC5pV5wxEuR7
1k7uvpmJKeM+K6KUBhJ9qB1H/EzwZZqN16jFABgLFpqQ0MGvjunuqFQBRmuc0ctt3IzqW1c5y36o
vLW78YYCZmBX7HkAnC+eHOo+CZzM/URZ/Y3rRX1Zp+xPWVVVMBk955kM7XBTFW3fytnYQ0k9hVYV
BT8JvAzUIu0C/JeRoMVwXH3qiG3OQJcrAEae1FmiK9jQcMVauXf7XFxdrfAjlGUT+rgPRfE4ROpX
2yOoieuidlNbFTenzXMR22rQ0LeC4ASwho4x5kpyL4IsAotULKnPFxeypR1YeSrMiIZEj1537PKA
uxtwMr4FtMKafdcbkoxBnTsYTWWxFuVcBfu27/CrQRtPVGRPYzC1xx4V6WtespkldZ51WTyD7O8A
IYQV4PUeHGfsBv28Xaa+AGfWMQmXqwhHzGwlS2fHl6fO9Yq4Lcflh+KUbZd5Vv3aRqomDeFb8qRi
ZX6ISvRlsyj1RbQlXhJHZNGjoSF5UcE6U/Q8gKLPUcUBFtH26g/UOyvWZ3uXjPV+LMPuUA9Wwl+r
1fzqu8wlO1UwfYBRmH3pWzhICUy46lJHvnEPXguQ5y0c5h4NYDjBq/0fMetPEeR/myyBsIQT4AMM
/u+0LKA++b8oWX//yj9SIuw30DRu5P8L7hMyRIxWMJqtmdk/8z4eQiLgjgH1+BwBI+4DrP5Dx8J/
YhytA2ceh4WDyOZ/omOt+bO/yFjQVyFeYRjCdwHyaM3P/Bn3AZSJmUUVdsem1rwoo8N3E1Jx4W4m
gRRH7fyBKeJbVtL2Jwzy+ss0dDZho5RD6neTTsNRt2kYONF7SzHjjGgMN5Tn1Y+gEsPb/xzG/+Aw
/m+yTf8mwPTHScYX/3Ee3d8QMMKfIjwFxN1nQNr+lFryGCeU+uGaTMKp+5uwigPpMfQlSHq41MXJ
+/uBRKAJLzgkUNDyjAau9x8BaBHE278cyFXvxatG8a9PoTD+04FsWsdMfk39lBb5ryFkD2Eb7BoW
3YsMeicpaFrZcIaoAy9MuI/Nwj7CVuyG6IuchgquvzhlcnktB7ZrEG+iCOUU56VACZiCZA6rVGTj
RU7kFcrCruzFtlmCXbG0ewKGRmYpLNETbYHB8C3gjLQw9bkq2r1vqkPJvEfWBg+g5naT8R/9jD7A
LXGZAEAiMahGKa/MM3ea52XO0pUG96VOSkXiqv+2VM9WmLRQyy6YGWTj6RI2/DAIdaaN/1D782vj
+UnT1zcWkLSxdlcpFhcIq1g3uy+Qdzc88+8dE/t2Kq4qA2kXShgzXdDul2xCHEVUj1Dj9rBs12zX
iHIR3dHIvRc+PjJB/J2XsYNxypRDmYD7vzGNOvtFlf7pGbz9HjH7S/Rs/SX9S/IsJEh+4DDh1Ky5
kD9BhJDk3E4Sx08r0OqiZjGUkbOYzDWw9hq2QGulLJNyCVMH2ZwRv5n//hv4DJb85RvA7ENCRkBK
hj7xVl7yz99AbjALRW6epQ4GlKZBDGdotzOBcDfaIEhL6V79rGS7IVswtS+vY51754DCwVPMQ4Me
/7Re324XBiRgLL18G9JMpZleznPV7gdTopUHYH8gYPfUghSPH1RqAwzbgo1vIfDyCfEBD6zQXLGV
wA/2WeSdzNwW0D0ykkIk+26hxcfTvDwi6bNbupwmuHtvYHtPWThfeDGcaiPNUZtGnP7zh/T/zH/6
t//X/4sG1Gfl9f5bRPfyU8iv1Vf79S/m09+/8PcnMnJ/C+FteCyg1AWQ+48nkke/cThOjKEAfyY7
8Zf97Ylkv0HfX9PAIWpzyCLgu39jdIPf1v0JMIuCNQMeRuF/UrMxKP71evG1VKNlIBHj6Cpga/31
dA8ozTxQIdu3EQzVvWvQ2EJOXuYWpG4uf8xlVR17Ns/NIfDY8OxTy0XKJlosWxFl3ouBH3yoe8bg
4cLWn2OVO/CAgwna+E450nuJutC7ZNNEICM6QX/zAiQOknCO+BADYC6AQGrNyx2x3DRn4uj5YDFy
J0EgpEh51ot7F+Cg46GuAPYP1LlDszMnPoTDe+PPmGkQ9knh45SJqfkTWdp8M3oEfLse46hsYF2U
3dgi3mIagMJepwxyGUKcSdFFfdz6dDkHsmuqzeRLAG9DxXf+Uinkq1p1NW7u7rOAzxsRLN7e5jbf
u76JktrBOJeoyrLHSXrRHc8E38GCmy4Nr6KksApkIgJtKUjXBvMjfDBXssQdfbd5HSFuDU+ZnpsQ
OI1+opHT8GRqcqsQ7eIeObtulovjVE/jI+YWZhNRa1+cTd4X0y7j4wjQYqoEAhW1mQWU3mxuNnB9
YBJauNIj8okWPXw1Rg59XGgQ2SsCMqx+pD5xRLwQ0Jr7snDa7CAbTpfDQGBQHbMRrDXyjBkdU2je
wbL1RsQAR4iUwSNX4Fu3dOGcI9zq+mXiDm5pwax247DNQDnuwp7IH0Q3Anpao6Jd3Q70NcimqN0I
IsQWSclfUTSfBmcyN7fm7hmePsqxR5y9M/PxPWQtaC+S3aYZrz10IIA2/ayii9dOG2VN/kjzkmwZ
qRTogqyYYwPXbdf5dffDU2O4164j810+LjndVBrp0ZI1/B6ERebEEJKZ3ai8588VqL7zlIFo9MH3
rhtvque+tAZRmQgYpq7lrhSePpKwVhuni0RKcn4cWhuldqHLPatzCuRNB8fVmYklQrl5TclVIOID
E6p7tj6oJElZd3UEzSAYwcOIkZD0YxBEFk6thp4WG4U/32lnquDXuhzpMq/dWJhx59b4cCxp4ed3
nNbhpImHxA5xtZ1iG+XFwQqkOeDHDRs1UIShGgCLYpzKa8Sz8QP4jpPFQme0S5AZshiVpxna7eJM
06ZtkYFSKnyd81w9Gqt3ekLtBiW4vCpkhn4ELmjFloeIdg2i24VyKPC5r819IcxHGPWQVJ1luDS9
/QlbF6paA6Y25XPWI4MLOIi1oVO+N6DZnydtaZlQxG6+NLanXUoUIkFTNTpI5s7DJncbL2XA7dJg
NMOWmNYgGBtOSTsHVaKoV26rGSO534pqX0XOkaie4YVR8wXtzfCekQ4UZyeqmwCxeuyaoj4aK6Or
8Ez21Z/GrP+9KfgjHPJHW/J/lTf5M0vx/yGXQSgJ3Qgt0L8fZS/5otuv6p+K4h9f9kdR9H7zYSwD
lf9jVv19aECtxA4E9OxAKhAcwXH+R0UEwrGOE/jHQ/VDoOQfFRGpFZ+hGAKJp/ha9p9Nsf/Ub3Lo
whybwJjLkEfHzPBPeV241AsEOzXu6xENeVDWDXIZRu3agj54bRcdAPV9FJrOsEOHn27GsosIlPe7
VoLTgZ1o/0XbG3FU/z/3vZ/fh+tinA4hHfiYiv5amL1IOJrqbNyzsqv2cAC2Pu6BXjBOnOFx+giZ
sFum8ochnwpY80hbuCK7FHLuQdZ598GED50LI/h1yR88Up+8Ym6SnPeIQyAaMLHw1NBGxNOIZEHQ
P9rB7miGtEbQMLIhwwsIlLMNpnTOakwaCOSX8xXWx9H1EGJzGBhU9eYrcXUKXP4iKO8DcIq088RX
WOp6Q8KBbQIw5k1MRNukM/6izcAXhAJ1/t51zd2z87bM7B6e4W2KOg/NQIk8JhIHnte/SwYKWOiF
bEPhxnpmZwDQdBtIkVj3oh29ZcZLRv7mlMuTwHYFYIDHTgAV9cJjLeFTIPdHQvOM8P8HB7Ic27l8
iHwfTYcYMb/5mu+9IH+LtEJicjmyOfipZb7n5Auy9C8hKqvowwtS/E8sozsXcWk6IxwH3j8GDCAS
FrkJ3Ji0t9U3XY0/cuOx/bB4ANdL9suNluzQBa48qMVTe1MOZjOHy6mn08XhQ7cJhaziCYQCzPJn
VYlDS566OkwY8dhm8adnVPUb1spsvSku8GlFZVzVNs1h1LDpaArvRXFukKgDydw9m3r+NSp+mDvy
sYCytUjCAJ9ukNbJtzbIT67xgq1Co6AyjfRx9ILjBZdkS5D0iH0awgLtx9SS8UE42XvWLKcRedE2
jOp4DocX6iE/SH9opR46Mp6GEeCsPyCJOC+woHq4Ua0LzDmrNtHcfym8PnH9HpLnXL2HOJqAaF5y
UKJxRuof2iCCY6VCjLEA4kCcVBVwt3vkbjOSgUq26DiRo6RTAs8PeWV699VbCHnyWpRT+TYu6tSV
/mM2j+OOg8xGmF1MB0gBm3AsT2ENfsDU+16W72zIfpaOvtjl2gQvna+WmBonRyyRPLp9qGNnWg5Y
OPLm03raD6PejIVEtDM8jzPGTQZnEzlaH0w5by7YIJh0rQxi7Vt99qMOLgEVm4HJWz9nkAMKBMlB
UwBMmtFQ1EG55/I2CnquNbYNRIeuhlcZAOzGc3DL86EAojG/NUu/X0r2DbmptJiwx6R0aHsxEYXH
IMoqyZmXWmxR6Xj+Laj41pQ3wGzoFemjUgqpTn9boWyDo9+PIB6wOmaKl4W9OVjMAs9yh6MRbggW
Hhw8jeYDVgSWo4zsQQ/0KN3wWrvLC3YABMA/wo+csRDB8wAZ0iAB9Qr0dr6Gbrdz3TmpFx6exnpK
hZHfGTxomhXrdXKvERlghvTBNY/EYS6jL3VpDvkQ/NAlPWAqfrQEcJEPWX9bVvU+qMl0roxTbHU4
8w1ti6c18ZksGfonD9hqTW8tDHrSEXzyILoFcQ68yS/YTThtWOZNSdOOW9/mSLGz4Ba02aOqCgM0
o7nDlt6NMvMhW0ga46X5pgOETyx7VRS7TfAHiDqjpUDwamNnDZapfQmX9prVPexW1cDCHmQCHvt1
mewzojdiM0eXOexPWgBgVe2dONF18cxHXyHWgYZ4QCyewJw3tnwrLai6vsHPwdBuOjoFtZUuYe4+
Wd95ijg+HkVNysP62A/IsAzw5GLja2ypCdsC0NB0mAhHZt/bLW3zyyvVDkDKV44YTTzZ7FA30r2Y
DDe/Ns2cUMN/Qn1+nYO5QDTGT81kt8aLmkT6VZcqD+RUR+s9X6Kv6NXRLK95rqgnu4pJkiCU8uJq
7zx3tktxwx56S99MVH+zYWhSX8GPJ6r7WpQAsXEPY9lPH2OU3WqH3+HEn8nYPyywG4CShHbXteXF
1eKwCP+nEU4QE3RsG5qDVMPHCkL4Uo7Tti1ZHiOYucS2Vcg7Oj5PZCsCtHtZ6pHyhKt3gKVap4Pv
3NoGg45FZg4qnnMB5Fljt0L+o9XNDqH+J9JXHT5m8dhVCLmEOA8txydZpu0K0EXeQS/+ceqmtGqP
TPZJGfJ8r2F/E5sdWfAxeOVLproUIMKuhDMI2iAxGo8Q0dm2l9muQfix0V9kVz+oKHwbW3qYq2jT
V/5p6mD7jc028+oNjUbsuuDsQHJA9GXRg3F+Ntm0Mb2PmfHB6P7NKhlPU7WPcNJ5Rd+xK/XqTsiN
Lli3E0a7vM/KTdBl+8WRy2Ye2zvLesSEsV5F+nN5ZO0bxxgVwMRiaHjryN1P1XCm4XlePGRdYQc7
dfvoLN7Fzni5mpkBf8GVd4LwFszyZ2NPAuSFDslVzr/UiG0zAdsWxQJ+3vvVZ9qkMP82Q0VP6N8g
puW/crf+IYV/9Vj/4LF2n5fiTuyUYmEIYvVt9M4LLBwafvUBTdBz3xYM7hARHwIz4xLqd1yRV2OD
Y1h9GXn5UYz1F+EUm64szgMZrmHBEk8HeF4yeQnwaC10fGxBhYfT/AB0IrENJvBAfVHCqTbW8b9F
oXkYB3evZ3vBLgwFbMFLiojuldclE/amDMvwLmGFVkBGsOLg+9LW35RnT9K58CaLa3BnPNBBzGRz
6ViHAR4DUsGxSeTZVUcPj4KcgNa+rYQt0nWJ32NbB9b2TN5lKfhhcqsrifKfIx9TrxI5wvOon7rf
IblTjZUBGkIuWoRZXEXmLPzyscUWqmlhT4MaEwk0IVf9h7zU1dntXgq/3HgG2zW64qEpuj2dOh17
Y/4a5mEQO4ubgqVPpuIWLpt6CHfVPO216n74mKBlXu5ngw+wdc++wu4CNleHCOE30VUnfy42LGSv
7dx+i8yQpb0Peqca5WtgnC4Jyh52dKFeZiz8epzAxyVMdjzGTk80Nlpj+8TowattET+rEriPOq79
4NZI9iEK+93NhjcQVTsHQk0c+u1rWzbIzhWvRdimAVLNzB13YkYzs9xHWJcDHt4y44kXqCfT1GCJ
u52lARwfB6ToBaptlExyPkcRjjpAxWj6BTQCSx8eexMdJxXdkCq9Ft3Rye0GmYtkfpoXudXdVrL6
ajLdbRy3nbFYTKJ+YHUHGZ4GlKINkOMYcskSvYjQfRMTeUK8E+8B3+Xijm0UO5ANwFb921LybdMO
55mox5HelIcD1CXQEL44RMaz+SSrg9gW36ap37PJPecNWBTHzCBrO5pMhv2K6leJu2k1ZBuKJGWr
odRikGjMNu/POcUIXvE7iNwt9/uveVDHhETDBukNxMjRPwxO+Fb2no6teTWLSJEMOwzuKQIOiNwd
iB20pHPGjgb7E6i6j0EqtPWnZOhKEyHkzJCoV+pFwOdP6rHIjxGk8iFERW5JtxzDrC4hTTH13Qlk
lNZi0Ycs81r0kG3UvwdTqV9Nj0zmkgdDMla9/VX3Pb9FBeGXtvTGH+Oky9QvI7ILggKzw8KyMckG
nrg8mFONNXTfWV3JR+4pdiLAXbHkomRqH7lN+aqxVS6tqIqeltHDJ+n08otCN7yv8iYL48IJaNoj
mn8sIu4OiSSlTCsP6f65yg80tGIftj75ib+Sfw+rZfnmKAbsMMASiwxezrNmLaI8oeivXNr2SOpC
nYgTts+Y99AfozGD1dPW3SMUF+/O8R0nTmRQWwo5HQjtmpMefXEYkPXcwgZCjVuceZNZyg/COAjL
qbGKdqDrzaVGpi9FrWmSOYgWABxNd3HrMDtW7dAdoyEcEVtzMHrNwECOkJyaS++HNKlde9HcHdHP
WFI8a96Hr6Ql9nuja3MqepZtsWQPaeJ50R+zhxBSgaDgCwYd3B/eCfWNF2x4B4cWIMICcA+54z64
B1EhnyA02sduipoHOrXB0+gj8NzqSJ6s/zrmQdzxsd1FSz9DdKT+iwPyYYzr3LofAXem7WwaPGXL
XD22WE/0MOVLeLYomF8kCMe90gM/0QJLbxCNqm9DNfW3gPbdtRpocUAmHBmolZ2JBGKeEktuttTW
YgecCySh17AYrAOLvcylCRI5ahdJ0ezUOmDXJQTVWArQ9mU10QTLIYI3bxDYZYTn6UuBRNdDMw/e
3sdGg5OzLHCMF1DoqspvekYOYACQhqzY2Ff26roWlbRRdnzucDIt0MPOqp3WtN4Aj/0eVAWUT2wO
CjZNNt4zh73wermCK/1Yd8f5AZYQahcLBQZQ0X2+d9h8MnmR5mAV0yAMEodwsfGxAyVAHqwm4Tsy
14cROGcyUP8HQ/QAMNpXvy1TSLDJKMptX6u0RueGwuAHcx03PGIPXPhkV2ft2+zqu1v7hxzRxMof
NlCiE1l4+I6H3Vg+uKR9pbTHyhWnewePKWOLDelpq9h99MeXzKHXxgLHcvASIYp/trNzENxeeS7G
Q0ONvwkct9qreiw3iFFeLRT3lShCQKJOIyMvJp86KLJoyrsciLPrb8e239ad426w2XB4Qxw57nWH
OCaP84hvsYXhV1N3L3/Sh/4LscNbTZA/iR3ch7fmEexIYx4oBcAK/yS6MF6gYwrYtGfVG8b8/LTM
w3ydJyz4wi4HeySsNg+zFssj3if5NOUsuGPJYnFtsSpiijtWj++8RPo+/Lwq5Xpr7Hp/gvUmyfVO
levtMus9o583br17ehHl8+TVEFA0ruaw3lG+3lbsKFiO0De71+zzMs8CzNCARThHkeGu2/XW8/X+
txF2MCJ7YS4q6qLdNEzrHg6RYctQVlok2NvshmWj7hbErjjQ9ZVZ1vdGZHh5CFLSCNtN3j0MLN4l
2qE/F1L2z6TQ3TPRnTpxl7XHZmn7q1gwjUXrS+dmAd689fVj6zsYrC+iIzT96a6vZGv7HIq+xuIC
I9Py8zEd1nfVgcmdqs/HdkAYbm9Lju2WDfoMBOCjJ79AEkgiFfw6YhPXnk8Tnm+CFYwnYyf56Eea
fs8iB6vW4H14TYEi/1kE9LCyrGtl6NYaka3VQq91o8BWrV9krSXtWlWg5+hXulYa57Po4LepD4Kh
Epm1JvG1OnVrncoAYB1m5Mf1WsPkWs0oylqe5VhPwJdu+QGR8LRuuGlj49LudWoVeceSJHBLNq/c
NxuEELXU4NqPKYKdDqSNF9tGQIAqcTbTgY0awD8aODePEK+a64ewq+oHicQzMiuufGhGnDyvMtsG
Q9ueOXLNYLYhxGQVDHqvOVkw3Oiebjtsc203ef/5N3ot5vxQcWxKmTMHKCiHiyARP9fVTdcF+8qN
655UgUcCkAzHvLqSC3jMeqee4hB7Q755pHkcvSrKNg1xA7OVoCKbFtNCMsBsh+ClGI+LHjlpEjRz
OhrsKMG0uZ8c/6PFHiqsehwxSSzoKxccX9BxyLHYOUU+847NCPeqlyp1pqLdLE6tHiZSY10kBvaf
GGLeHGwFunhDFKVd47+MOVrP0XFBTqqxxAsreZIbUT3xiTlnjsh+ikKPfSOkzO8h6WXMkGc/Ssbu
OS3u3OQSyF1U7usQbfagyFF4tE/rUc7/i70z240cybbsr/QPsECakTTysX12zXINIcULIUWEOM9G
0siv70VVdd/K6jvgPjbQQCErC5mpUrqTZuecvfc6ycE3I0WPhpoxgspIHZtZiZN+ke7Ot8VKWJVM
zPbCwQpM/bGZSv72iQeDzNX45g1OfVV5tjxUviHT39Xi2M5FR/509TAs7jFIcLIX1WShJLXegWEq
YxW7+4BB9EhdKECbEN2h+nhpavOKx7t6msh63IugSI7uMIzBJsZofZMAg4NYR9IUwBy4LsuBTEii
4BAozP2BO/aHUfCu1QFzTXgIdGDxrDax6X9O1ajOCB/pW7pUPz0HiEjpNd0RcIk+lqHES7sUA48V
aM62LM0WrT/d6Ib4zBzh2bQb5os681xux7CktGhs2vkHr50DGCRUTHNCy58A3nytI803PNO1Rms/
0IcjDkjXO8fSwzIg8dm89Ch/17Um3C+akCgx1+5tHanfTtOXz7mwFp4CDhSLLAtdzFcm/eek9J2t
cVK1EVbs3jV1Q2rd57MrQqytRGQ3RdZzteOR3VEVOJtwTj/nWbxNxbvtZcTOCJlpkW6JGTwsDrGP
Oa++/H65zE6NXBUM4AoKXciNFSiAlnUa3/WdGHfAGMni2zQeI9GXbV273dPoCPsl5G2ne3V+GbSw
vddmL6orTk7HwWXBi6QzbrqND5f1JlbyelYTYq7k/TIdl0RtUQ4wkL4bI0/gSld1e0r1WJ8T9MJT
PMXLWxasTWYsZyyZ+cg/h0V+2aKlLj9hZpY7GbrJlhiztXU9hl6KJNgH4TB5ji3fvk6mMDsX2u3v
o1rph7EnfuhFlvmMOH+uHdGqk1krqnGtrdq1ykJmLx6n78prrcGEpdUZZzUApO/qjBPXfQnWkq1b
izcQeP/fkfkfo9H/AWdbedY41jA7rqDh/1jG+p/AOT7YZlP8j4fu4/efPvlXQevvP+Afgpb620oN
R4KSAm+GtypX/9C0nL8B5AfJj/8Dh+Y/g9jWHSch7g8PmQdLp/i3gLHw/4ZwiTjGj1P+apb775g8
pPMvRrjAxkqiPB8YnKATQ9f6q5bUgnGeU5GM59UxnaFR9Pm96r1B72Q0EPJHhC0ymAIVyo5qOtya
zFDRK6CdibMVuNkek113XpLK8285qg0OepPyR0Jg6fuSgm3ZxMQnuz0Jy/iKHC1MKa8T9r6bbBnf
0RmWVNNEKN79wk6qXe2kQII4M/Dp5zHJhD1UOvXaTzF8Ya0mwo3NuGfOJDp+FfezWYjB7OGWkCW0
6koXu0rEASSHKZweMYNk6Ylc7bhshVnh2q3JumNX0mfCeazG4EEKHM8bt2nKcjt7eFIrW7qPejIM
hHJeRSjB2dR429ZqOYNlUNpfSWrXy76Ng1DvXNdyLxUj5WKNXsZvrVuI4Qhlef4lfUs/NESNQbOV
1QAJvZmGjezc8SPJenNGAoV0XjZ++u5afg+FxA3K7VTb9qOZ4HRPpfCpCyE+ysp1ybBlleDIJlv9
rH0xvzlTHOgNKfBIo5TUWE8CqL9budBYb9w5I2bdrP4aUaIrYQCzrmVZqGO7uOlyJ1OMAU+iq6WD
y2Vu44MbNjL8MRK2Pc9t0uOADO0WXHsVi/Y4G4dAxqaI2f1zbntKm/tg/VzyfbvIPjxkhUqC5z6B
17fRHfazyG+aN9FLSr95XD+s5AydHlpq1TBwjbV7zYnZnoIcdsM9+I4Ku4xKRuc+BtUAaVZp7Dgg
vHZOVNEfDba56NT+yuZ23lc5Ee6pF9G5tgaiQA0dYtc6AgQ3ruGRK/IuVCrZMOFmmLC4+pDmNJ0b
MrZAu2J/cjmuB/U0huY8wUMmVmxFIbSJody7WfTUZ0F8B0XuB+YDEHR+ddPxfGyD0PtNtXmuxu48
mZjoWWGXR6/nLjZVlu7loqvbWMjqyuexuZSysc7UMjm2IpIaeBSDI4NY7sK6uRr89iaJLRd/n5tv
lii4RbfpbwMX5a0aCegXycTlarvJbwqJ4kj4r/yRaq+6G2XOWGoU2TaG3rKxwmSg3+/pYoJGMXYc
6gvDkPquqwyFae4te/wSgEANvpmXuDBPuW4QQ3Qen+eBQXurFF2En0i6uJrkuZEWM8vss3Yy+dTW
DjDzKh63KK3RwY8Kd+9WqK8O6wU2YwTM2NHDbVv4S7uJqKf22ewNz0XSPIA/PY7GRgIcPCweXZbo
+yhhcOYtxHa3Xip3HtmZ2hPHse0AO44XFxoyuqz1RFrnD0Cxh3xy9MaLHIh2GjBAlfXqXmvesjiw
hl3CX9m0Jq/eYDE0HEby2R15/ucSVksZ/S6c5IhUED4wGrD/kPbiSa+b68ZXw8aZqKXs0KqZQpkv
VenroUTzgDPIN9/IcmuV+WJtIioEKjEi85FHUSYLawM5Xx2Wue5vgLipTdUTky5JuG8nBaG5mL3l
zeL3ZnQOvDkp3PYo5RoDTHJhb7nKn3KvfiKJkV0VmOu2oV2MBzF1cLaInO5zOg6G3Gm/JzPCvMIv
l7tF54OL78dAvYfXz8DEGgfMQHgKt65bMclELhs3diTm1zTTzAhlNN2FuNv2fo7cESYktHTbfTWt
lMj3QXtl0MkOiTOFe+0gNGHOKx9wgfnI2r24MoXMP0FFVAdqNYaL8eRVD662Y6bY6E88CWs1atk9
s442+DGFIv7dIN+k/4XTwfdWJ8M/GWzpKQgMuHgQ2QyFBxHT918MtnXdtUmW2Mk5EP2oV3whHG12
ys1gZkr5MtUEzBtK63w3yZYgX9WN1XPVWvO+Swrn9xC3IU6FenKcfa4Z+lvCxyzYrd8+KEOHa2qy
J3DbmGWDdi8GdOhNFTjJ2RvKYLo3uLGI/efL9Nr7EPJmZVeSbiEkAXzNSoDgdllgKSVBwhHVNoDB
7AyDAgwdDXdYCoLHXuL/yHvQ+SPjLEClyvJoD1t++jqVnW7DKO/P04RCNnC+Xy+xZQ5FsrKK5GhO
nlHhFaxcgNFiWGg765jXPtKvYWY1O5zjZIWGEGUL8GUHIIlIuWN52UEZ7i0dkOmu3QXa4hQu8ynw
gTmUiLwT43mFNT4lfG8Dt7Fnr7xRLsC3ELV8Yw+j9SdQar5aOavEY2sqXear1iXHLrc3tAr35dzL
h14m8ROi4n6RXX5IyYCDfluQrsfMgbAdlt6WmHtw72kfIrvVSBq6gOgnXstDoisoBPYM2NVO9EHG
wVPiBatA9LPKiFOF+oMe+siUCYYxiW8kkM9x7C44FoOb2kmcrWct3Q7Ean9hHhxuk5oPjnqDLLGN
KlxPdOeVPaQfTusx2yhcwnlqvKKdvohpSO+SCMktxFDxQDN7Um7knblW8i1Ox+K1I70Y4XiHFLio
gTHa3PTjvgFZC+ayq94yIAc7WzSfZmLA2HUueLQlrE4Oz+Z9q1rnCcj7L1W75kJOu/uS0zDc9WRe
4wOU456VJ4sXMSdiNBhfVWMc0lrNbvNWuD6qBOnD0D2G7ujdNUszCg5lzzM/wIw4wy4s7eZjFn7+
riNQmU+0EQL+RqNIKfohBjwHwuNd0Gh5B9DV/5wy+sG8GQe5jz0JLzxhoLct/XHaVpgzjqFlpzuV
AAsXBMCepLT0L1kIDOYiLJ9EZYZkj+GFOEERjPTfg3fL8onudqiHkAl/WsU/2TgRX2xXu7ewcqkI
WoRSPaCN+9gn976PINzmLBBxU+mzu4BDievExM5pstviKp0YofNtOolN3NTKL1PVTmBOgwa1xu5y
aJt5UWo8JRQc/Z7DDtEkx3W8izmxGjq4ZWi3fTTHd6WOQz5OkXHt04TvncpqL4xbcSPZjvsHKMZw
ovRCdZol0BXZtFmNIAvR0dBxnkhVL5x+K+ZlPw1O9coUK7/N51ze1W45YiUKw7eBtvE5LV3r0HZR
fFksSNo4VLvqiV8jf3aWhW+3TbmaFrewr/yA1GnSujBEPYY/N0lejBWzwRYbBdrUXnTiHRgGwyw8
LdnGnvPsvdCpepuj6WtsBsveOs44nqClHcSccnVNXuYd83w2PwmDdvhizLCiOKuALZ12Mj45TeG+
RUaB2SCfDhsh7kXAKh5ihqcxKOXPJW/tHZeS9e7rNLukThR+NH1rnoF9VDcZfjO0pEr01CWV4zFd
t8di79oFIzanzodDKhf/1+C72amxBo0ubBZh9t6QA/F26NQnXLN6/kkixGKI1GCAq6JMhhtRRfm1
5WbtrTus8dpFjL/tslsgjug++OFUNgsoslBY8roGN0qnIez4DdLijGDamLTcNlbHxh/NZfEedF35
5E1BfiZ+TgImbuNt0OMK2PVuVIVbItJC4mALEQZRRYedPY+m2NVRW8IbNpP4yaBsRiV1p+RzzmoR
bcuoGG+hW2KSExG4l4KU5HIdUGPbTpOv2wQ4XrBcafUbR4pzE6X+cJXAJMyPSorlVXeJgB6Ei/Xk
xcZ6qXoP949fBZ+1cTRjCloosz6SNE+5KXgIYl7CEmI0rzwRDHfbEWK5WcYGDKwEL7XJTTnhcNYx
gCPSe/GDZrr8rO3Uup8zw2GvAO9xii+F9YVjpILLWgocyn1ve3dLiGGHK0OOt+1SDe9LIuUnBJe5
P/DIt39mHednp/WjHD5iG79V4F/DQ54ohC76DUCzIzSnMi7afamxL+/aVJl9ZI1QNVmh075CzVym
rVWZcl+gftQbLlEQR3kALB6uvUFYSBZ93XdZeJ8FpG75fKq7ickaW5N64A7tBAeF4WK16yheUMzS
tnkvda3bTRkAcNpGFm4jJ57MuXNBQsmSE2CXeR5e50zVPI9ZY+p7gvvp/cAE+NRaEqF6cmN56qoU
YEqhCmIHMkOl3oK6UDUcFh2+Fvizy41XqxeHzTef9DEoq5lJXYL41YyfvozS7q6bzexsUx2ah7mb
3khYPo2Wbp9LJqvpfjBVfT8Utl0/jLkBabEI78NfLBxKw1zoOybq5tyinO4bI/q3Aajnl4lxYu0Y
4wRPtW3Kp8XN4td5KriJ8lFhB+zKZNwu0IGu44oFJQcKYfZDkDHyDkNjVeckzph4k4t+6UZfXM0V
8aGrPC3s7BgO1kir3QXTXQVj9B5SEonnpF0uflriSFVuf1b+GLwrxzZPHeUWDBtjRWdaJT8+OEYW
GIj8sjvodi53y8DTuRVirtV9i87CC8TkZLsE43y020l+QATszgAa6jvbyc1mCtVcbtzOXS13bkMF
lvQd7r6wtQxx7KncpIU3/VIy1r/jpmBtwJARGWBN2rhWrJwTH7SzgLdp4dWWhEu7GysLwK7xJkVZ
lM2vMTZ0nAyLBXInBENLL90kU79jAk352/JiE4QYsbtYKmjP2TLoZ/JSmYMNw9SUZijG6I7WBLTX
cdvbwHLNsWjZcDEEg3lrahnlxFBKn2e4W8/NJrVnyaic86jVRpcPTd5RBYx0wunRQCOnvlA1HJeQ
qmjGe1XvJXIgD3PBXrCm1TEGk0Ve90GQ22B0zQLntIzzdfdO0F33EHrsjSSdNV+thvf4jG7RJfsI
IsfPBvrj1h4yXBht2P7x8ik4Yy2rfnhenryGgA/mzSjs6TjZlnNmGIjJhE1l57liEs/4fvjKnQm1
OpIk5Nf8eIGchM67mzHyHvAgWkeupHYX5vAERptmrBSKNh8CB7PoWHm/XBXD4fHDxnvGAsL+CkET
GYf+lUpH9zAXhdxXfbg8QYq27wqmM9Bdc5SlqDfzNmULx6X3w+gXyCCxSb2ufSpsA0kyhu6DKU5b
9ItappeFodShN0kB4twa74rcNc/g0qszrWOfUc3W9n2qpmAXVk102xe2dzXywj/PmtK/s4r5FCvD
HDk11VeNc+7eE533zGNPJZy5VxjM5Nk4kX6L9eheM7ZertXimFPiyYFU5Bp10LI6irzd9Mp7oibv
HidlkNzj2L1JBlmf8KT570Ao4s9IZvGWHggDVep2u2hx8ptmqNKHXs1bxlTM4/uyREYWzBn6SMRf
gZu8RMZaBeRmX3YFYVAVTtuaPnM/S6+70Y0GCLKwzCnvJ8TvsNsncJF3AQjpTbgEP0IOrNsqaaaz
16e/HAVVimlFTnIoQ4DFLTF5YrgSCcw1P9bFdRRkYqerJN3Gjimw207V7UKuFMQuLQK3Q3/CC6hP
OsvUztKoX/z79AeVukR7wiPhlvC/iEl+++L/2sWRI4OyCBPRdRzH/xe/usXxS2SxVmcxpoKyc63S
AlnHd81U4VHxeITmrfKVs2nYRQMXbFDnqZQooP80pf13xGRH/svaCfpJaI3sPGS2yn8RG/1rP9kN
UYvFUpEig32cjb3+TEI5LY9IsGF/HwSV4z/kdq7kvljK6QJzhP4PCVo7+3nk/U7c8XUywmNONosu
PpRZyPwMX0LZfpCHUu7O7S2YLloUDxiW+OR9WbwFrbUwllgHcuU0Op+qMpBfYZm0Pxh/kHTRWj6J
cbJ+dUlE4T0E8YuyAdACg4nTN52i3XHEubchxHB0ztH+EXQxD0qamMe2ZunUjknsmj3CIemCA97J
GeMmM874HvZIvdVBpy9KlfO1ZYy8HYqY67DyioM0xZsACfSoRYyvzsGusw4t1Tq+bL4nmSN7oxiV
WrlI9oxcvUvzPfaMv0egig18X833YJTYm/pNZDF4MF7eXZZ4cX4g7MPaa3Oq/E2xFuxGe4PYxTE+
y3QoDCxsNmxsi+/qHqmGSj/8rvrNdweQjvn8ywPRtKdLDe6z7z6BxQQS8iQ3mgZgLo7yu51gmuR/
pEtakMoIg7MViZfYm4dzY7p4Z0V88DlkX2DQYc1+n7VnGb/bl2DtZMq1p/HX7iZY+5yImESyDxbu
56wmaJs5Ex3R2hsFa5eUJFO665rSO4q2Y0a5TkS3nCbWZ/HdZJm138rWzitcezCxdmMzsJ53wL+0
aMxyaNeaMBHLk+/1+bsniubDU4sNI27W0vwo/JYPyasL704v9JfHyfWZhTNIb966qPGr31biD+k+
8Yb4i8xY3T7856+J+B76/+WFXUPVniM8gT4BO+Jfk58VNEqZcJ2k1Fq3jWXim3pK213fAeyuSjs4
sz2rnPB31dHedPV9UGBzTsDW4Jr3J3Pl6xhmSrtY8Y4JAFjGiijbha4HcqfLnPStK8dm3MSpbJ/c
qR03jchcZoDptPeVuS+L6H4qgGBtyskZbxxy5CwikCb6BZ1KHvy08c9+0uaPIvQMI32yidJ3nmAG
4liPHkKAkjfA6tlwyJ4Px46feMflnV0uuFqYWfqWa4+ceDarO5jXDVzZ+AxOSdp68Lh8ClTuDvs0
Nqp4IMBnP8jaGd19jbL37LDC6RiPmEhjM+AYgpFNJJ62rb/jcGkfgq43h55KRu88ZsvThnM1HPee
KfKrpbWJlw5Ox25POEzVbzX07VowDxSSpF9FOBLJiSeQ3DIDD+ktRCZaM5ZQ81T0nqAqvBtvxkY7
QTs+RDpPjmmJ9s+t6yo0i0wf8FrHpyrweOVc4OUrmJPU7kxw73fJZheur8GOsKr5FXQplq9kAFu7
koj/MIYn38YsH41h8slanuioMdHuo6iyLobJCJMCdu2RhxyvIF2xncZOnTtGiwtPJUVnkeE7hcxk
/WRtRLPnx+kt2zOrC0zPgJSO14A6ZLMJBGoJq3bSzMxQcpD7h4ErbfHGw6xa/T4KJ322kl68tllZ
nSJ7sZNtPbYcTWbKHpdex7uudOW1xym1JS+m99hy0N/jBIhd4mQvld3nnKJJCDQ94JO5SglfFzQx
fnQz54t99FVCAiYLM3nTlPVTGLL4ijWF1JbfN9GS9O6jj3HqdkKEJZ3R2dissdthXKnyaGArxCoi
Od96kqPNsGzZ4YPOZK+SU8dUd9nGzapERX2BKhWmMwAyvxKfzrdqFaJfiW8lq5ceKQoxqdfiW+mq
BCloMlCg0jfQ1ONqx+nWvMdM91LiI74T34EZcMj1c4/9dofJdHTfAsO/XtW2rB6nYdN0hj/SGUhA
/dPQnbtiYT/J5DnnVrSaurp1aa6HcGHUpEPsVacs8IkDzwwwvF2XOvW1HCT1RPs90zXreDf3nLc2
aLwAXt1zHmJc6NYXBLPKDCnqqo2WFYkVqkPj1MP6W/cHD6H12iRIRL1VeydsBf3Hf35QEXX/63RY
OWtAXbhsB5EOPI+/3uY2k/mckag6h7F3F4f3bd7dNOPj9//JfyvP+R/iCf4S6WTFGP/5fwChrVwW
PAnIK7AH+BPBipd/+uD/r33WNx+/P/K/aNz/7g/4u9wNNlvCb+G49UNXSm+lu/yD+yL+hvhto62H
lF5cLv8nwSnV32ylAkw5hMmgDah/YxpIwa4yFSB+SfLwngeC438vWPtHwff3KO6/H50M1izoPz0y
wJZBznC58WP+IiS4hSZtlOvkVEyqPBCJZrqCHBuH26ApuX8kNO1rZVXBcZBdf2VrT13VVGio2b4G
4Nks6CBVwKCcYWzRvXpWxEA3DOZX2JGhC+4rqBriKyXrUxlohpcSy/6jym3XbFVWYneRamHMsmni
mJUtzehE5CHtqCYd04r4k8iA1QCIrN3bXnjyihts+hijufpsktzr9x2bII91WXXlZvFwKdGF9Hhy
ptn3fxIYZ2+TrEMzH2dbk6QTRTG25762WK5N8sIlt9E4WXvFe54+ghXw4i0smvbZU0P5NARMAvx8
GCMgdJ3/Lua8fDDGma2tGUUO/jBbioLhI0G9DYxK+73NGInST0BZ24a5VhdTpdjmvEyOvzLPMldh
VtJ6DXF8YfdJhYkvFU/Cy4YfdtR5D5Afyosq4aJY2g1PoHCW42gblpFZvopuRgyhmPPZ7CNjghMC
lSM4jENXsh9RDMmvkFVmyckqeuyBhfBHbvl8Wq4by5dfUzSaJ9zlyx/OUBgLUdy074vI3ftwmIH6
JH0WdduSscuLctfR0DCU+iHB9nQ3Z5lhcaIB1MP6tnk85kUaw+lmRveiHN96bWFewDycgKwxt0/m
TegT6tqnqMAPgZ+ITwrFFmIkCocjkFc3xo7hTVc+IiNiWqn2ZcPGAHae6JusSvDWt7KrToqdRP3Z
xTnZAe+r9M/SzS2SPO7Q/4nLyDx7Y80e1t7VjJQDbQVbha3+tiZ8RHi/ropip0NXHPM268N7nNbM
62BvQg5n74eLwdEq6pSbjC55AyKhdvcEbSx5QDtQfypWOkGmK1ov2hKNb5a93woMhVZYMhnXHlht
ptjJG1IHS6FKmuz7EhF95OZGAeLDKMqJxJ5iVS4frBm2KUkjPr8R2WdLDVOZXerNycVzUEH49P34
rYSH+pVmDfJSVwgimJGvT/gdB+dXQ2tdbpLOd0ZmfdHCI2UAZ2O5BwT4AGbCuRnCpIogzRbBOZmm
njF0YvZWRxO+s9OS/92L3rpxrBTP6TgM4U+3XpbsgR0OPmlEg8iTTXP5wmzG/U3pl74D0YuCTQez
tNmxbbbYOnbN3lrbyl0Eh2o6N4lifVSS+Qq2reX7zDmqtgi2dg3bczuG8XCYQ5iFrDadgz/h2Pli
l/chk01VeEhhRqtH6of+PPpjz0SuHNjxWYT9Z9h5/Y8MdfMOT/9y8EA/1rsyMZg4my4cH9edHD/w
67Pd2Zvq62VxWqoUZfusZs7wzadjNO4Z92qMhXUCaLthyIPLpoayzOKZhkxZn19XTu4lLIz3KaYz
RkvwWGJiTujIC3HuqgQ2bE81znw2pKDbKX/Pfr3xV7iwjZgqmIjIVs+Lvi1gCl8g/ybBgb2ATUSG
ajbHNcl3RHCwz6rJwYALvsb3LsyX3wyAY58yx2aVHR7W24FY9G1IrjLZiNpVl6ls0qdxtPCgFqPv
nO3JX05uH3WXFMXkvo8FAr2YKmsX10P1tgIx9uMCTb6PIvwvTF9ZrlrGy4HYL1uwvbAh2qNtQomL
G2Q/q3Sq77Oi8/Z9y+4ialNzHqJu+T2g/ATbOQEej4hSS0XRN/PdD3mDBcKd4uYdN2POlDQW0xXd
vUS4MapjIm3rF74dpqr2HDv3spywwLI/ab6y0BP6zQTply2QQVbvotRim4HdSxgcUZHVnwWAnGft
DjyErT1gLI6nNvtJPLd58xC7QqaX3YrkH1z2WLr+wjrpOs/A3mqFPnIUjd289pmT5RcRANbmK5Ec
OqC22p20KltcJ9lsT1R2g7OQPtGW2fgNgsdJFBMLaDsbufa+aZvulqxohF22Cud8h6cjvOtaVXya
JE6+Equrd01vp8+x6FjvHBbQaTaqyINj1kZZskUJVntSL3hh4kqlJxd9lfa6Jujkjq1hNfIcFVfD
NBLP9caiZP5ea+bDmcBe7cR9vBuDyDxM+BCWnYWd9zhiujg7GkwJnsfC3TKc8QwZVZndyA4leytq
LWGmyQQvyX03mCUmQ9LXzYZJ7HIzZxT+Q1lWq6Tu2jB+/DL7VG1ewXeW15Oh/t1kxcA/VfMbPja1
6n/IIpiQgak4aDg1e4z7nFWNCMbooDG57yteG6/+UcJ7ASiv+5PyWcHeF6RUZqd4LwJ2HGh/ZaYR
rWLiV4XFVSLXVJeTdUzu0j7ybFDpS8U5xJy1cy4yMI/CqcMNg4zld8FtwEUNabpgKfA1XneznUsi
cG7V60sVDeOXy+VzZFQur2Tof6huIvYPl/20TBIQk+77F2k8iXvKw+aUFGyj0QECZ5uy6R1g6hg+
DI4jyVNPg1n1hOaKESjLf+d0IHfmYNaRKRs4dlOamRviyvqmimt7F45Rflt4HORr2hzyuGOIkW3J
ZVi0Cr6DVJSMlnPssznMyIK1+XlJIRTRvBe4RiZ5g1rG2rIwda/ZGk9fkjZD/4YUF+56rwp++XPE
9MOv3PbeLYvgwiyBfaRaVw7LEKJow9IS8Zsgg6B1cqrHNoNs0KLqu3sWOrkn29PNi13BMZsGvv6a
nMobCwtB5UwiX/pN6sf2xlGZuqvwaPxyMEzhMwSfvvU73aycOm+76BbEt+j7XyjQzYOvfXNbddkM
YSnPcBl7PS4q3I3HyWPvAi7kRmpqLqF+AmvI5m29Dq58l/nvxmMN058oaRMoeZa8YcuAKrcF8hAi
baMdLlDwN++jO6u9ooF9slxJ+qu1o/hdEWFDrUlH89Py6Zlx+HQp5v0MPF+Y+ccEMxfJeV9ehWbK
v/h9uwcG8vNnuAwMWZZmxkRg0q6Ax9oF+pl1SCU73HvE4R2YfRpuHwjeY4AedGDnxvS6wEk5KDbD
f4TCp9Rg4+wqLfbRpDdRpytGw62Mj3xV040Tx5rTIY26x7STfkv54ufZRi8FJ5WojS72DSza9Epl
1lAfBwx/0bnpVoNQELIU5oDzyrnrm8b9IdSEWRoDRz4f0rEcHeT6ACp/KrrgOo3VUpL6Mr3ejVCg
EmwR9iK3g2jJK0bz1L1POu0yetKEHSjpUkS3qc+8cudpPznzhIQLEPZUf9D7c6lNXuBcENL4/Ptg
cKcNIbOB/XBl8eq6SXtp2gJRu6MfumSzG+5GZ4SjLWx1nfZegAtxsP+kpOYRUFmvJ/bcuyxWVIJM
2yYPOu+JyEQK+X6mJNhMXZ9U+zhdCMc5KE7uA3bOEZbT6LknVYi63uW52wDDwqnOaJ2rYrwVKSvb
0BjLON4aZpFHnyVyl6IQTbtbwilYNnVYuF9ZaYXersLr8hJ61gxN37J/B0ExDCRpF25yVu5qInWG
Fb6bdmihtxRZxiKVXidruD/+EnGdXvSCLX8OGyc9UGNij3KDdL+ounscgqpnu1XHEVVh/z/MVG0Z
yWZH4BYD4BXYQ87idb+PPsKpFRe7osTYU/WG1rYrQ6/Ym8Y3a5wJ5Rnb5EKNxqQhXPgXZx8k62yt
qDL7TkleE5d7mSi2GZx9m9n1h2SSKR6ykcW+sCbADjTCPNR2AU69auqJAEbTRUjIXSe27CpKHtio
6J5lHuBxJMTarasJSWMVo2hJp8uJwa3iR8YvWUoUfuN0snltJhX0uzaMiq+6ALDQyWIGkgJmecfe
wmFnZdayU4PhS+6MBcS80/gxZMMOYZsKkDAd62pjMq57GOU8i02aexvPjpuPpLC66xzLAwU+Zo+T
pQHwz66K5mNklcrcQhS1nrHo8VOw+pC0UMh/XO2OL46Ma6Ormmf611yEFM0LEZ8LNzeBWUng6JrE
RnVutJ1jazG1PNrW/yLvTJbkNrIo+yttvW6UAQ6HA1j0JgIxZ+TMnDawTCaJeXTMX98nVFqQVDVp
tWxrmUwyiUzGAMD9+Xv3nqux2zYuii72kE3UimajBBGtcO3c5SBT4nEMcDobv2IE2s+6P/Om5RG1
t/lCHXDpLvokrTAyNnhocmb0Y7iEK39oiH+nvRdMadbfV7IHllnQS9HYRPAjAhxP7shryTcWrWrc
/GhfT2YhKKecLNygovugTvV3Js/kpuo7vUHmHr3RSew+Ztx8TAyQlQTRLLK3SFfuHeMATeihLNIj
JoZ8txgXuTWhMY/TFN7CM7degfTFd07S8lyKyQVlr5zp6DXDuJd1Hp3IzMv43lVy9GJcJkBWE2dX
ZaZ4btqFrAp6z+pSoZONHZtmAjWBMSFQtSilmmW08OGwxOwTylKMb1Oqz+BU8AENNofjdqADKgzE
k0FkL/kBjyVFtFkk1WMVUfFSwik6wZN8kAvRGXiWjNsKddhmhJgOJTxVw2Nj1BHdXk+Ig4o8b+NO
Q/zIo0ffVgmCs7ywJ6cXFyyrC81RpKKlWVwThBMfCXtBhSax860az5tRmSszOzuGjVoJtvt1IpbJ
W4Vliqkxb6I5cMzCCAhYcg9IzmdsVn3aPQDET770eT/c+gbiM55d69aKW/9bQ+DPFqtUCOFEzLEB
2EZaz0CLqOqtLD04jUoB2JjdtDIHehlFx3pFUoygSegV+FbKPg76sihACzaY9TH64RRSdYAaeDoZ
OR82c/lDiEks4Sl2UYUjlmDZ55atLubVmnyLeIA/EyLHQygwundxT9d67mtBSFU8KsA1KSpMW0zn
CjMOWehULg7d3bh8tFB9bBXK3ttKiu8uh0F2ZaalOqAB313NcnLh8Mp2M2QZ7eYcRc8Tw4GYa7k0
lbeF3NN9Mlae1/+Lw3leh0g49zYy5VWXt9MUmCqlEbrMsXOzsKX0QY6rTP979PhfdRH/c3/wpxbi
/0s5fJdO3e/bhpmO3z/Hb9/qn/wx//65f3cLXZL0hG0q36WBSyv3p27hRVByQZA6nv1vNvnfCFTL
+pdrkswHy1xCJ1cXMKlmkYn/9//0/iWY7Ap+xReukLQ4/5t24cWa80O3UPkXbwwTdRM/j/DI4fpl
cO1UYxhDI5cobYujX+gdW3R+FRXtW6eTcUWnEYAkx9607Xk2on7tuOZTHCrzqtLDiz2mr33dXpM8
Mu+meOj3lJ63RP6ib1EYzqreSIKm1ui+nPyl8zhymX72QhIyhfh8qfzFquyR8TFHWgtYzD9cjb+b
oz/ik3+ehf/14aC+W3RdPRv70QVC/yO8OGW57dCxy2Aq0sByeoBr38u2vgU/+4e5+6+vJLmSjvIs
3+JvKf1fmq80PC13KAoJiLRaJRH8tdK4mul2AJkLfv+hLhjeHy6Zi8YAFLN1+Zft8K9Ll/nHTzUr
Gn+sOEZQquGrGzZITYvyuUOsRJPHOoQDCupcYXo3G1Ywl8CNNQr0YUU+DRlkjHr3S1/vZOK+8rse
y7I4k9O1BI7TviAdOlXKfRdxgJrjQrCrPtqpmNccT4ndLRvWoqglrysZ0d2Yx8Lu9YFEVr3uUIih
oEzGIA7ndzUsryjI3gjkpfmRmX/CUluXK/fD+Pby4dmPTUcozPOMcX/xdIUcCknVJkSn8rxdTNKE
VRAuVyOzRtWMwuOlLtS7QdkkaGhOl34AkV6fuRF/+/3F+OuFfn4jLsdMYbN5SAGC8Zc3MsfENRYR
/ae8I+HFaph/D4b74kW6DSYr/8r85iTTGWlYfmr75bFy5rshTN0d1pl8Vfjizu7bB4R5weQ0Oxm5
70savRWztSVp/v4Pb/ai/fjxzUKH9FiE2GYZRlzgkz/fOYCCPSPrpnhjmku6pu9IYN2Io8R8aAwF
zDR51H11IDd+v0xqlzTmkxGDQu4lgNcpxuaacqBYVm5n2esFN/LF7DzWrfyDKeIfV5f36TvM5JXk
UXJY6X5+n07UuCohWDIYkvyhpnO6pdUNYW2Ewej0J2IcrVWR4pOTqkM30i5vQ7M8zEW76dHj/f5L
u3wnv3xnP76XX/U0pqqtHI1lGIQlJJwatIlvYUShkeaJnf7jy/21Jv36esrkbpJcKVeYv9xQLhI9
b8kJAbQ7jjN9RFfaQ+7SFyN3hXywolxsvbkA1VcZ8bop3ORWxfNBmvGbO9t0QNNQb6IROW3ply8E
Za8jzGtFqh/RjmQnGMz5ug/9aUva6B1K+55zi78y7OXK67TcE6Y0rWqrhBE9oCEXlcXYuT+RfQGr
jJy+jZQ4txoj2oZYzpFsaL3H6jzDv+Go4iD1JRIpsjedvfxBs/HzEss8i5tCCYZr7FVELrDv/bzs
2WZOSB8XYlnkZpHRNq2vJ3RBWXH+/RUX/3xMaDHbbIoM5dh//7Ls/ADdB8TVIOTmmbZTzs1D9q3E
3sX1rkH0+Tb+BA2WcRofZLMcun6+t8HIhB5Gx0GHbygF1qWjPzn4r0p8/UwAHruuPU9Vvvv9+/xr
ovfzrfLz+/zFOnRJdIo4VmMNXdTVbI1bnbkgktPihbgsE+X0Rd1cgw6IERsgTyrP7cQJ1Kubl+hC
KuOgbVwr5FybaWrsvZ0mw7nVbRGkYsyYeXjhLmqUPC6qzZ76UVZrFJ/XzGqGlaTptao7xkuGqEm1
93lhZQ4zIZVzzgFLgi4Z544qNrkQvbt+V8rqeerS9zBGLTnV4/xGffokFo++H5XDd1Lx8vVEMCQW
xyY6EdS0oNTOn37/nf3zJqLacdCj+GzTNjvIzzdR1vmUGzaIzMgJrxmYsggOBOESG1+L7e9fivyY
X1eOv2oOl/E9U1/H+mWfhtnc4KSoLoe9xT72/fKMuN4+1aS/PcUjoEz8kjQK57OOvpMrimTS1vVK
+GywY1eBqJgtxUVx2lvLn//w5i6v/cutw+Sap9bnoWIi/UtllKeDVTheFgZpkR/naOs6xmlpvvzh
G/i1UkHQ6Jk+ixiSRNxWl6H3j5VKK7KoH1QebVIrXnmTO+1hsWZBCMBlSeIq4DB/zziifmc694Wp
1Z2j7Q39E7l2Zdnju4Uc37QJMFQ9ITty4qvcICeiDV35h/rtP71TfKhsitwWwvJ/WVyg6IU5ztkQ
UWrFqpIUW4CPONuAskYm7hcVuxzwQoA03R/2l5/H9SxrqAKE8gCLEiLjOr8uNthVuqWCUx4UtfsU
ji5LDONbvwrsUqDOZN5I1/MP1+U/vSaedaHQvrHPOL9cF5/8XCjFYEH9JtwVghhYkdTTsZauHYiE
0r7ov8bZ8KWJ5XuaYGi6TGtC4wMdYLSOjaq69tAip659sCoXOtvj79+f/McC7KF+R0NxWYTRSvyV
tfTDAjwZjVWZosPo4sFHR4gUOuE2THlcGI8p/KwLiD9uonES31MnPvaLetNVO23RP722zVKvUiXx
wA3f0zgG+2tuo6FqVkaW3I4q23EcZ6uCVuLX1VfMIXQy+mg7kMl4qPjlpZbjMc1IKC6wwM14j7bo
E77NxIySy/lqMeTRc7kdMATKKBw3A9bAP1wh9+djGXeFJ2AgIAvxL3JeyB4/PzllknScNmI30IP7
KArnbvGqvVsOxqqu8dXkfgds2onP9RQxzw35PxVAvXYGetpF+r5rx3vZIos3DQG2hkHvJFo2eAa8
uPtf3Eah0Pc1IkC7vYo00kMcmHPQAOdjEEOKcpFduZEcgyQM3+FFMtDAvTjY/qslkrMVEZubi0Ob
shukcxmMJn2dpV8+Y4ayAb3t67YnhII3apnFTZ5PV1OaXmU5Dcapcd6HrgsM28bbUo67rlPwrLMd
FsZlM/mZi8FSLVtJ7uNmsptNZZjWyrzMnrpiQtufTdtY6rU9AZjll47Cqb+ObXRTgVpefEim335/
M/6j/oNCoTikEyPGvIwe389XoldlSE6sTT0mUHvuHXc/VPsLoaX6u9L8/7iBgl7v0rn4v2NGvnQQ
XP/Hf0CM/P2Tfwuu5L9oTWA+YpVUPg8D1+BvwRWyKp/1mq6KsDkwXNgff7dQiHdj06WpgUQLBLBz
OUb/3UIR9r+wkpn8JH4F8j7UfwUY+fUG4enkGE4lpkwaMpwFf75BurLzVds7w65OO/8BNeJ8AyGR
noaNa/nD8JfsNJo07/+wY1lKXpbpHzdxi9WbXhD2ET64Yhv5+ZV7jakdpcqwU7IPt8yxnPq9ECPh
6MlgwTtFEUVyMUGd/UtepyhfoL7X2RrVhg0DO+Op3TGSgMGO6Dl/DZswAb5klaTLAuvs1l5rw2Fi
mhOTvBXqfj8KiyEaA3iEYrQRiHeqIT992ATU2t3cYjFB6PYKAGJ6nwmSfyooRTlrimG4I4sFBULW
qeSExChDtVqHTG4GS/QvpXQTpJTOEHhFcZIJ1iPWoRloLJnK5UfaGOu4s4dgIREg0GH1FSO4daWJ
7rrz+8zFNKwgEIRGekXSjEWCNFFt1dqIVPjFQFWabnCcV4fZuyC8w/mbWzmk7dBDD4dUHDoBKnYc
41uEcO52mECkly51oYE3Nklg1o4I7Pm04mHwYCFATLufiwaOeZqXDEKrHsOTLW9AfgTeROFCKzAK
Ima367EFvYXdLF8zHGIBrdsUxrN459wPp8OXJzwpgWayvYqgYZVhvh2hPa/QmSbIpvydUq3GK45A
WscVWuRQjzdj2zdXZl93hyXEthHmOI2YwMKSb2W/thqzXJNXYq27MXE3Gb0xuCxht+sIazgIU5Oi
kNgOZ0VXgYZh0GK1fX8kQIRJ/BiL9ZJOy7p3SrHPQJtvwzoqjvFFxcY4LOT4P5OuNbbGZhCS1U9z
Fj2UpSE/a6aM+x77fOAayrhGmlNSGTTJ/bwwjgxKSTZopPskpQj8Kw0xNaGOOB7Wy0B6LnNKAqXj
YYOQQ7/PSGs5aTCyB/waL+5r1Evv7M6J9YHvufjs3Dl1115GBvRKxGN/H1XZlTnBbgnG1kyuU+ED
0J6bE9oRgw5VXR/jpUDtQLuB7zpta2NlLl28XIaf5N9oBN0KFm2lFGxtVRHkig6LIz6kHDAhWRkI
pkLXUqOrBghm51e5LqzdhCao2GVG7D0UjtE2gVFIM2gUsJoNTu+OqBlqm7OJsAtpWzMPd8LoZiqG
eI6OUVQT092YjfuqO4+xXchw/7px7YojPd6n+3n0TDLRUKOtFQCjK7qY4oDfDc9eDIVzL5mhPuLc
IWAaQ0pC0KyHkw51igSNbak6R7xTDU+Y5VF/eL4Lk0NNwj7BY2nHjeeMUXOcx876RiZas1PYTp8y
O276XYcs/nupxtDfUijP7crWDQJbhgeOce+pbtwqv1lOmQZaSdKraO01kzQkoXaexo+9SMp+lTTG
qa1Na1vzl004d+Le94sD5M9GsAXCwLgJ5fypouxDF/GVNaS7miCHbT/jZy6g+O8HPEs32K9pHkvC
fzsce96ssiuUYFi20b7BjamxRSJZ3ad1c03FoG+ZvH7GGVFAbdXCWO7yaG+mbn0uXTfbkg7iIxMo
6m10aZnEodHtJkN7p35hQgoLqfrgmItAvzDUtTmnzA0L/OlXoQaeUhRhJBG9iuTCAhUxTRZiPeEG
zWhCW5BKH246JkewSPkJr+nN5BbATh1tdXZgMX5W3xpCgHLi8CAWr73SKHgujRcwL5sSpcu6JA7y
SxbP2ASxPd4hyTIhaSehF3ROMhyprL7VdsP6oSspt3Fbh4EvZvc8EHPoyGxBqTrhtkOrkRwqEIe3
FEZhs3bQuCPiG8N7wnmh/g7gJC7o96w7ZFEzfO2MAoUvOaTZxZBX0Sft5huvHUi77yqI2qk9Yfpz
wpZKa4g+vCEFNF06BId4Ex+MScA6T6DMpZMQX/DHxCeH60jVPPInwN04RGMGb45qjahq8pUFSojC
OXZ57J5roajblfOd3Sm5Liu/3uVtE6UrxZ2iD0hIp3UdNlm0aUHb0D/VERhbY27az8TAzL6Ksta8
wqlCBLEIU8azcWukhLc5Q3Smn3CfkA/1zBgasA6D5W9mbPW7ObHpEjP0SXZOgx55X9cqlZthGLzr
huT2J5frtB4mq93PeVh+cniVt3pqwg/MoJZ80E3BMtstJZM3VFsm495WId6oqQ6wBVkY1rK6Xc5I
JqCy9ybKZqfagsBadig7h5Ob+MHUli/GRGTUOp60ANoNN9QNEJTZFk4X3DL0VugzozNEPTVmAn1r
iM0TRqc7TptZtRAIh7G5nb3yDoVjSdJ10ga6Loxb6Hvh9cRogD80JOxGbk1NGJxVSisQDFU3UXTA
GohTwpMtcEp2JqdFGJ4lER8hPvuD+dm401d8gPIwapdSwRTzIVmYRRtTI/aGESLKBBESCJFfkfM2
bZa+dXbewMQjBJoTLHHERY4neUqd6CmyyQ1rOlSEYziyPEfojMZO6mFdGEt8X9CN2sAG2BKZt0kw
rm67uReYrJIy4KBvrQBYJ59TJDpsWAOjXO0hqyGQe1VNU7aedYPKED3lDqVtHXCFxg21oL1mxGly
+li+QDvgiywqfKmKLzZvyhAC9VDtQl1/GZ2YKL2qbPedD6WVUgNTGyKqXcXJC3q/j27NqYngy1q1
MQl6C5xSqj0JZSjiUv9WGzOPbyHkzcR1N0eUKWvRDpPcGdhpN9nkRruWfOqVbbc2D3winRPlgn5l
gM5FjX0HxzsYpFu8Xj4dEgARm6oMx1ffNfN7t1vMk+nn2Xc9OepgsOUc4HuOz2mdK45YUzVskW9V
LSQKlMGRa4bfzXjp94iiPKCN6G2CNMUHZQweTt0qseJbDrjsnFk0wOyIcIYTEW6/E7TSXA2mwJLm
d9m4MurST/i+hToC3pTIe+mEHJGlJw+RbyGR8AbrEd1g+C3XIWDbGirHDq9mkrEwWeEh7fAvQ1Qo
cdJPFw+ZbSRHHhV4Siaac8LeTNIOC1NYT7b0/JV05NAh257g24g8+uyz0gTCwjy14iKUxW3G0OJR
uCrdQ2SdT+mULrvSnIcXOgDFqW/m0ljRRcSCWJZ6KzRJg0ccAlAxndheHrN0nr/1KarJoPay7JLp
M9z7MSBzgl5UTPs47Ncjpf0WZrF+8ubKvA7jsjzGoWXuZoGMhM3PRUnGfRC9JBKudFGY+cmZjOlx
GAu5J/MULbNvd1STKry1deUhO/CsU1d67ouRj6g2o6Z6sSWZSJVF+EIXXbdeqq4E0aeQ4wxnUNxn
sqByjxnMs+Lh1BJLckUkK3M3t213lYFpYkViH24LdPpMZTQxrKuccwNoBScsrmkHxzs/hyUnSKmB
jDJ396ozloNb8w5KnL9fbDUMRO+1nf0YhqMCsm+I1Lpli2B/6yOXsJastlQAk/BiWkWA4C+lv6Vj
umyZUjfXPXH0RMT7tIVqa4MZJWOdKeedGFIUDk1N+GGX5BtDMUxaR8sFqNJPc7krnLE91M2gX3lo
l3vD11SbEMF38AZ0gPZLbFJERBsGCCQwFHYE3rwV16M2h+m9QjTR3M2wM/IHvJeRG3T1koacRDjg
YUyL0nGFvG/CKycw+mP0w0OwUvhNdk5dpfcFmufHCaHKd1A2YgdSJ6o2CwyNXd+a+o7oPuu1r3z5
2ANNAYTUChg4S+QvmzRJyocIN8fnNOLANAB5vdPbJpPRbZKEy4FE7N6kQP3W2tVyjMYK4x8eApA8
Lc1bkHFoQbmiFqua0zXRDpYbS3arkY4oLvd7RivzC41B1T56BdOsa1JIpL1Z0lGUG0sT7InAD90H
1mrg3E4EpAKXPlrtpLfm5FCDt5iCPjLClLpdt5uumGnf5BlPL3hEzwoq9sMToLsLasVu6uuodeM4
GCF3nZHz4EfnHyAoqqGODk3V2685LbZdCW0Olabo3wVHIijddXPfOvIuMYYgmnKNhtrzTh2w2CDi
PrzwIcz31I3Ht6gEA6sSJ3lKl8F4serK8TbKp2+mknk6Dh0BPQOZwjf0xNVdJD0PUXE0hTB4CGAk
CvNARR1fTUKO+0b3y77nK3wf3Gi46ipD3cq4breF4e5wSbtgE9L5CCnSCvBjpPelNHCQd3afoZbv
TDJZSBQFfNSYNSLvOTxV7YJYjzjVM5qnN9gIn8ZQTHd9bYYEfTUt4BxbaLHSavC/9whU13FfJFsG
qgi7RxE/tZ7fP48pT05ulN1zmkdREE7KPpfwko9JLou7rJLfIwlpT9Sdf99Qzt5eBLNUV0n9jbC7
hR10FPtSZ+pxwUJ6XOgwb6ylG58yy4ZvY2TxNQJrxEBLa2/mttHlprDq7moK6ci1RlQjvyriOwb7
KrDr5CIVh+9y23Mm/WhmIe/iouy280Ikgfaq9mYA0XKo3Oa5N6ekCiZPzJQHzO4Bnfneuh2haGR9
t7wzG4QcgkYUcZJNDdSl4oUYG3EeBroYucr8l8RtQnDArPlORJ3Gtjrczyio3xJqsWucF8AYddhh
hsiyh44qL4P+T4zbYtTG0Uavdg41t/ygWe8hkPVviLSxRS1d8j6TmO7gY+BIbUGPPnsuh7UVLXD5
DdmaGcQD5tzFZ0/xRmdYpzNnLKal26WO03NpD+FT7jn66NRh+mRU3Fc6VgUnwaEMvBovQBHb1q3r
mwLG+jAGEAbzR3gd4hzDff4uxwm5cmKW4tGjnsRKzZ5HolZof+KZ54SFPas94Xe6yMLDNNob3GgW
NErU4vCLMuICGlLQg8qQ9XM31WSSoBS2YCHO9aPbCmKkjJjeipv1TRlMflMSA5iH72Nnokb0I9aX
Ez1sRYaQHT0R25MpPFT4WleFKmSLCcQL36Nu5Hzl9In9MahSXdDdyzpz3ep9Gi2CvULTfcb3DHsS
xtBVRKWGEYK1gzeUFkEGTxqJMuBO4natjaVaZ883qW9aSw/nJRu6977oh5M1NLA9hId/ryIYYu4v
SOhYV1eaXv0K8w0ufddMtlFWGPcOXd11WpjhynLXcDeHal1WFTF3ZaOma3R6sUOSBIxMB0MGSJwx
sp5KThvxqs6m5PuAOmrrtwyQZ4hzCOwWXM6rqpzn54wzZBCFibPXbmIwiOlGSOSDDDlQCwzMxZYq
oL2azSF+FX5iPbrQY51VYi28BwPN/lx5mpiTKCqfMJ9911nSeJvGncv3pQ3n7xU16CF2DJahEKls
XDSorgfDIMso+cgiGluwwCDqze+MhmaYjDzTIxwLsnpSLB2D/8QiUx3nVj+Y4Sh2UZ8YJ1LwPK5m
ZawwMziBoaqrrEcQjVUAuquWN6EdFldmJAWcTQL5UKeE2cHpyvI0ylIdkgn6G0cJzzkuRdtXQR7b
l22KkAqgUYHv5vCDfM2TZiynqZ+9cxLNMRNbH7u2H5ofMbfPR43SdFllBO/x83lzIuzMOQ+coLYq
tzuk4e7tvMSwB6d5vM8QNaJpZBSw7g1n3OUGng/Cf1tAM+bNpSf0aqpQ1quiHpE4ZkaZ3lDZAYFB
8ZieY5AYdLuYRoBCimW07lMOnit3WiT9twXKMuibJxMNBXlcY6vuKA3wwWRxFt6INDFX3eiiIZCE
Q6e5nQS2xt4JnYPnMgcV0hGaQxYZhNCSTa9qT7Kll7iWvQifm2gQW93W+jXFLXRG5Jjh2IsNFnA5
OHd20jfnhldbV00T3sb0988mjCkaZwjTT5D+3b2NCekoklmf0CTXpwRE5L2y8npbjopOHka48mUG
zHlDc013G8fWlDQe85FNMxhEES+yTjeRnLGTNUsAYwRlTCTMT4NwjcOAEPlBsTKtALIKyXYEs0ct
HsDZlIlT65jLDQKKZEcQIfMpCxfteQJee7cYk8mth0R5F5NpvVeM6t8nrHHH2qnTLwr4u8/irRv6
jYxeappXQHeNWqOPMQXa0FmSQWpC8a1dubc1m1lHGnjkzqDCMgs3oDC+eN2gV+k8VitrRq2/MmuM
humUT3cuCtY1pH3j0OWqhi6HNWFG+fpmJhQghG2QLFOkePB8DU4bVJ9VNDeowTvswUBGLcAi84r/
dA6d9IqrfHLHLZ6k2g3KOEWBMBNrvpF2zDNeDbQblDcDbMia9qKKFcO1hXnwSanFevJG4K85xlZE
trJdovWgwBC7OQGLONmS+jGDRmRuAaFNc7C4Q1puMaua1WmIY0FLtq4E9y3Nj55kssh4LlOpj54Z
MxpDoNxi9mFkdY8ytk1OFaKjhxhMCYZB36DZuyA9A8bWJD2zzmLZgdFQb5kgzMzD2WBt3TI3wAGn
Cj+IA+yHTkgD3WiV54oIpx6++b1GYpKtRz8RA/4Kv37upQ3l0zDnBRDMaEoiS1tCrRZa/Y+JXMqX
BrLtzkjL5mbqbTTekdPou2GOFtpts/Bu65FGnD1IguGy7tWxEkTKHp4PhIn+m1HZ8bae8amhabCP
2hPFE0ExHXQSb2q2WEnFZi6tnEZKd+BbWDbarKdrlWjXYyLqVw8dmo7ADOflkfalgzhduLdEtNJi
SEevvor6BRl919jeJ10DhbioFBiYzJbRAeAdQwaGO7Z7esgXoGpUTS+Jp9ggaKHO566Q7qaP75La
7XusB8p/zLqwvIoIRJUZIpNA5LgLQsFOsNdsMxDVlrj78ABaVuuYSaxeTVUxkNxUGs4dHB0brdKI
zyBI3NkAu2rTqUUY5ZXkytlVumUbEbe59Ls7NDrLM43z8c5QfYmz2coJLJca21ttf7Ez4n3tGt4W
PpTR3FaJmAONufVG9/nMuXz01FtXZ/FrgvnnhLVuuG0NiFq0IK1Ynhrw79iygMiZZFJYzjWwLo/8
CtcYXrCWKtr/FNfb2JnSnRknhPv4LbYRlzQxYmP5Iu4qoqUMmBqAKELmvhebsWU9RCGNXiLzTEA9
CSkRwOw4QPukk7KdamcNQYuD1FTYznVbWfq+weLG3Nsub2Zc6QQjhwnmcHCf12pJ8fph0VJnUxsm
bZxSpyUREI31RcEROSWNrwCUNwmBb7qn/wmMvXCP6WyEX0l/WN5rn4dnM8YUbKvBbEC4DCDxAzXD
c94t7ZA/c7cNw7rME3YCup7TjTbt8OtodJcFjofIsfhNLiDJA0koy9kkNOwYx6GJyqjQJ9Z2NiDt
m59a9m0c+BU7H7pg44sykvpuUq17nKK0uZJjNxwWO+6/A8NMdorbtsGa6jfuqumm6ZvCBhC0eR9w
hsjTdae6cl/KxT06rNu4MKv8QU6DcwQqa68WUFyfJZEb9XpRs9xh9C33qXQnarQI5JVVmzreRORl
3HNEovt9CYDKBtu7g2Wcf11q131YRMs/WtYhHQ1oqzpr5ogXzow7Elcbxy4zx03Pd/hQjrr7yg5U
eKvUHf1HY7HscF0WrUg2lY5v+8LV91WV4a4EeInTQPZSnnyz624L283JrOaHrBDpQrQo91ZNJd0E
cy76t4W22mVDHsTZ67Xehi6nklVUjvk9NrwsXcd+KuqHMKyWuyljxBZT3FzhIlF3DLfKQ25a8T1c
Boiq2USg2NBw1JBVi3kI7c4Sj+FNMczqyI9FNzzdxgfq1nbNf77E4UA8aVJN7xyZveseLO3tPBWf
jeUERdZH6ybGjyxSfz6rbi4ektEed23lVus09h/mRItNpnKHnZHW5aED7JmubIytmxQ14KM98rl8
5fLwzDVhBDnP9ao19LgdOL4yoenpcBhJER4AjndvONkJBjdN4JfSntp7SUHPSSB3MA954BpWA5Su
YzI4drGa/Ui/RtnUXjFd/Vq1EIDQtGnnJo6Eex5VJe8m2hlvJdY3B3JBGGG46BnfxD1302heKERY
e6qk9NaRSU8ha3vxvS5DZBoa8Ve5tiptJGva7q0VZM44F+jNRHQi6rB8tiO2rLjwKVliOpyZJUZU
ykxbKgIj6yfmqd2h4PvdxE1X7aF4eYEJMm3jzYBId6btSHbTaGJo1XXFm7JDTTDu0m9yNXvfB13q
02hkOb1gy3s1wQFhKutzwhSxAvvHHg2WDbaDuZW99JxghBWPJ8gCtHKKxg48pjm0e2vnvXZkKddx
3hmH0NDckfRIEqgF2XLuJkS8a99t6guqLH5wSmY+tm+Nj4k7yc9qnKePhLL1sZn6HshcNl3W/7Ds
r5SfAlNd7Gl6azLmlytWheiJFimlyVJwxlsNKYvxALiDOUzW2Ww0oE3Oo2GaH+T/ecVmrENiI9qZ
jWsufXUgdcY88aHg0LEHT+u4tofD7HQROxfO30OrnVoGdSRAdaVhPj83XiaY28T+VoiaPb/ET7NB
N1mF6yoURhh0brKc+yRk9e4w3x5xfegj2UbQfp1sdr9i4gUEoUwmfmBsK3YrVFTgs1HrQbUukhg9
fmdncCNidrEVmIyUHDDV280VXn1eBvNktCc2qfLXhZLWl3xomaOIMjtNgzvhrQ0Ncp/zqXADB+YW
/2PkoVuFgGC/MLMF0z4yEHXXmMOdz2ZISmiDtrxj86J2ydkuV6HD1n7ozMLC7IrF6oV+M37ALDUe
o8vpCgbtsu0jQsvXkvngZkzMLJiArZ49fxBYisgD7Gj34XXM8K5KC4TK1kFFsPZpDp+WAgEOroDp
ejaZeEPEoUlewJJgTCM2nqcsnqz/w96Z7MiNpVn6XXrPAKfLSy56YyNt9Fku14ZwySXO5OU8PH19
9IiokJSRys5G96IKBSQCGULIzc2MvPyHc77Tm1stGe5sjclo1Ax0181HgGn1cQqK7OBqhbZtU6PZ
DFPVfzWUSC4d5cTVXE5nUt/cDULd4qxBYiK3m/83J6KNVkbX6B915KXXJowgWNcDGUqtDhoUmhj0
b0u0H6NOzXd13xfnMq1c1uiGtrXhHh8yQ+pfYNnJbajc+px3ZXRD6FQCtSYeYhKAh/lLE1qRHxqe
PNRzOfjU64yJMc2J35WY/69VP/9nfKb/SuYqFD2mXPCV/1wedH0NX7PX4u0Hc9V//r3fxUGe+M00
oV2iCJcoGlH8/CkO8izASovGEc0FMjp98T79IQ4iYgjVjk3QvGPaOvJcpNN/ioPEb4aHXcvFZe0I
fuS/hWMyF3vX9yIdV8fbZbGD90yPCx6B0I8indltTHTRSX5g+Uiui3xF6uutKKLya2RPwTnOyONk
I/yENAfDTdpp+0ofs9eRMeUlcXE6jA10CsEpFKnhFuhZtLIL9ym0c2+T1Z6E8BNL8LBIfYbU7u96
8GyrwbRAH6gue2iiVFsnXl37bmSTQN2szca5TA0McBZD20jSx7V9cNctQA0SJ7Z6GrD1T4KnMQrc
XY1+FzmgOBMiDaYhpmzuWa00pclA2fXmS5ZjcG+HFp9PRsXDjtiHjDPshqZHzJy4O2AlPKZxUFub
CmQUlmLJxLrWQLEOdyhMfb7Bt4Eja1A5tyIY0sa8j3OWZTVeZfZO6640qR3j8ahFwZLWjUFib0b1
Q8xne1PGebnrGS/uscs+jVSvlBHnTvBheq0CWTDxlmMrvdpFu680CEMkEl8sgSvK1ct8H49UZOY0
X4MPjYekqak47lBCHG0jysBath/YqG0IBdgiYplYAMM+cotvrd3PG89JdoZlMFF1VsWUPFaEDUcq
N/GdEw3QK2IKcT9vtDnxtam7Y4PTE0/djE9dPIuDJXMgA6yAeUYCVyZUYpRV6LMBiR4oCe8jq/8c
iIk8vcbOduO47PXK3L4RcHFX5HuzqQjglEwkiu9dVr/rjLilg+nN0yPij3srrdgMwZTrEHlH04Oe
BTOlfdOqfasl4c3oXIiveLL0BDV24hS3KHs0fFz9BeHMTUSwOVkYz2E2wT2kZ4dHY++TAblo3RyY
bqChCZ+HcKhPVGqTmGK+quaKIuVbWjyAQ1VU2p6FXlJloD+mZAtglrJ7rS8LtQqy1joYZx0qZnWd
ev1MddSvJjzRrgt+p5roi3Wi6T+YYPHxz2IGpgHgtZNDhcQAKIT+ZMbAudwJqA/9rtnsiqggz9wd
jH1FAgqejVeb+edpxrwOufFipfPK1nOCoKtbq3VJK0k2QPjvawZhLz14dpZvZby16dsfPKfYFUFA
6AAyCwGFp9ZugMuLW8DuRC15xO4UlisAyFbdqQXr2q6bSTi3GX0EXudlTWnX7qsg22XtdUV40gyY
reShdoeM4uM5sUKSJSjU43NkwoeJkpBxO7nLj40EIsuliq2u1KeXKaXznaqhvI2YIx0kI4dP6RTQ
bpBwtcbsn67pSJxTRBd0UuDwd4YzDLvWMJYs53m85EwKHpmuj4/wrLpjoqv8Ka8B5LOYqAmoVl79
2ga93FRG1F/twRMXT9jqnPbucGd0hXUVxtyxUK2xr8OZ2Uqa+h17A+dEJFJ6qNlj38x1GX21WETb
0Pmn+k3lKXYtAky9CzOT+JIobziLIGtPWYCFbs3QB7aPO+r3g9VXV4Nk5HOeltHTxJd1qTyg0Vwq
8mzRi59zu2zxmgBtJEVTsfjJzOyKWDfcRG073SVZRMf23VPm9ncJ5fe+UevdZfWXtNJl8eyZNsYz
Dm5H4JD9yR+RgnzDjTEDLA/D7KrsuuwPSdM312ph+XeBPm7oxQYMUuSVGEM6o+CgKGUnHG7ttnty
+kbbZdYEilImS5QQvtANQih9R7PdALCIQ8JNOrxWcRmKW6fQkxNl2lUGDkKjyptvlWNQbAdudplC
iMhcSU8CyPuqxjHnN2OfI55sxCqaxGNdRxGYtyG/cbrQRc44dcGjGgZTQ7g3MYhp5MzOISr4wStz
iDzickiG2BdzxO67iSHK7Vl3RMkWsU75QkxJhfCqp6ERs1E8WTJyXxh7HpuMahFB+X0ntX0Rt8V6
spyNKiai41pZYH7PcA3mFGtWaPtTbuCu76x7NbZntnYPQS3dtSr1lh6M7jtjkz0XAUoJA1GXpcEY
lQP0GSPKT81s96egLs8SXwIPywkcOcEyQxGb6GrqaZuzKF5VbLC/RGy3CEQZ7J1GcgDiTUdcS2ik
nDFGtpNRmtyrmfWd6sL82s2DXELsuJRmyVU1I/w+D0qQ9t0lzTkWmnfphB49RXponsPYqa7YJPT7
0nD02yi1TGPtxX174rsez2g7oc7prXeBB8717g5R8ybDordXDN+ir3lWFuuxDsZdvdwp03LPuMvd
Yy73EUWu8YKihXyNYLSuTNXHO1XFjDf0gudz1PRU8zwqC2Sgr8QV0AV3nk2wxXIHe8u9TGs6PgYy
LR4Rdo0XYfD0Ub017JAHOLt4ORGmeXBOChEjhI1iuQ5A9ECQzz7Fy2kyL+fKvJww9nLWiOXUaZfz
Z15Oong5k5gp64fUNWLoSQ5H1tjW+XPtzt0hSXMPjscQnnC+Rusev8JrkpnTiRZIHXUScG5pbjkY
Pf7rEwWI8wW3ULQfE6eldY+dW/5r7Qavl0ObPDF5i+HPraduom8GouiORNl6VCj4LXnbrpeSjGAK
hHY7sD2Iduk6nXyNF6Ge/NyO8v5ayARonagEig3pNfPG9Ebh+cxMiCIr5iZUz6YnAX6ZIlW0ZQXN
mV+GdR+ezUyHhFjSgSKsaN2+Y7FXMN6v4U0VCFc07FpuhHRz401jRej1LNjMkVmEJrS2nTzlNkjK
vVu11o2FtPbihqO4GzVp7DLPAm6Z2MZ9M9ciJbwwyPV95aD83WIbBzMcJHCzylQFn63eYe7iegCy
V7WcIw30F0CedU/UQ7aWHJsfAVXG7BiiwuBsgejocYkZlXGurda8T1kRVaqomOAzYJ6TZNjqzaTW
rVn4jXD1XSLbp7Y/O6hrt2GgXzCgqIvNZmuF3SZYU6MiJqnjYK3DzQShBxxceeG4QUOFetOWwwqQ
2CeVesNuSoYvRoFEHJ04wYEMWgOmglfQL+baaerPsfyMT9Q7TmZA/JqczE3f8hiwEDgw/NL3TGqI
1TbukxKz65i5t0YwBH6US2cd5hDRu8qWUMhGx4e8na/j2DoGrnZPPA/PvNiwzhrP/60+qy/4QpH0
hqCqk0lZqzoabnmcP82Gir8Jwm8O6Ah61tDlfILTP6xGQtU+GJhWN4lRTd8Y5XMNdmGJVrUB8ZRg
r4nl/yd3x3+7Ps/yTDqyf97joWh6rb9v8H7/C384P9zfLCZZgtYOQZjtLn3a784Pd2nu+GOHNk1Y
AqfHX82d/I3FpHQWFoPpgPrCN/Fnc2dDz1jwvNZC6JHGvwfPcJ2lDPirTJC2qbsY6pegBZpJfuRP
DoyK5qgpvNzaq8CwH5PQnjfdFBXHUcpm08OD2vdV/hKlsPxhWLsvsczzs2mLDpw1/7D3hWc4l6i0
02ecauhg+9m5GF4hg8OIRN1jC19HCKprx3k254EdEEgf5xykEUNQbvbikKJm2oduPz97llN+m8le
fkY0H1I7WGZ740iyaRCMgzpsdIKbqzLdDbpLBFjdm/ddM1QnuylYYhuNVCuPkWPYT0tsjqlZz6zt
TZu9aJOckuUUA/1jF49pHMw8E2JbOyGvRvgpbPT+sAB6B+tFTt9YJhWCL02cHK/sP1WxarNVorlp
jLZ9ij8ESIOfaGwGb9dZIT/bKkd9jX6czVKYzdDxQuin7HHz8sjYK9yhjkuvs5kAGkhwEZz1PMEA
WrMGX+WlzBEOOlZ9p6kSJnrexdOdF9tkfuSyuBSunUKzTLuI9Vkv8u4mRGP6DS22dk/WJfVXFgfD
qzJEbmCTZpKN/maqrtGIbgOBvotgHImWxpkU9eldM0/TwQFfglbdiiNmhlhZ0iG1dooNwdkSwLAS
StN5gxkAAK1MPN/sBP7A0foWtZnE8BsROLkqMrv2Ey2F41Z65FXyYNX5dqPOYwY9u3n8qYkSaga7
kFt0LmoHDkw+iFLHo4Ke9G1qsxiYXhN0+05LrC8qNYYXo+2do6aS8CRQa9yxVTWfEBXUl1SkiWCB
RvDoDol2guG76+G+IeYLG6bALPq60Jn8LB29m7oq1LYSKXG1gky4I/oZeSZ4aziKttXvZqHkiWS1
Af1IJz6R5pQ9MoBsH2ySXAe/NBP9Lp61TpHnyC56lYjRuzJviW6Uw+oL/YvbXkTtWmdRSfOgG0sC
EmuJ7tA1s0m+5bC4g2onzX0DvepdHHZYGlKvH8/B0Dzk+hx88lDHHMHX2i88zR2g1lPmh2Zt8jGV
BrzPjg9qJWTh0jf0Fbl0EOBUww9BgrOCZyXnHQ+bnmazma0DZX2I7sthMhojKLnXSvyHLh2rPsQg
xVT1Sakc/oODmqJqezDJNvPl2iuP+thpO9kFlPaTfdOmNh28ALbgMaMJavs5iOJt3tGalqWsHYqS
iOrOHd6yvPpi4Bm55k79UNXqmwdRcx2QJLwg07B4wlOZ7eEmr8KNZGy9NsBvoUxzWEw6XX4TiJyr
3pHseHaDaWJRYYHmwh4bJ4CMqM1HfZLtyk46caydCnkrETkrGwEUes42P2O5cbbchv1T4dnFRdOB
pNSGVe4zepfuDhdtwOKZMB2m8bqG3IbITuRyibvgWt1WW+rAMPqSFpyJG04TsvFKLDVE3mDlj/ZW
x4ezkiIj6LNwB35J/hIrrRLcZ8CdMHTaeRBkya0HV6ZvsVWQl2Qk2s51EsFl0Y57Ixf2Xu9tfUvs
HcpniqF1P+j6PmfutWy/guBJ8tGuu7YnDk2JdOcyka7JY1vWE3oWVtsiaQEXJwmLChHrDy4b1k8u
aXDYhuK6P+WmWTKDCdLbAKnTTk/K+BvjX5KmtZTEktXc6tNumMDaQJYbxtVsgkREZta9EBujkxyA
EnWFLi72ly0rgU8p7oW8kealRs+JzMKLfa8K6482mTJcDlO9qQKMbbkqW2ZJRc9ExqiRB3esFvKK
VtFMpNw3XQWuMgibW+Tby1Bd2d3ncCyyrWV6/hyKk0Ey4hmAXvaxNsPmFIYjIoxUe+hUnx6Swk3v
J8LubpwGdYmppaizi8K6rYqzitko9f10S+cQbxjO9k8QqPpdQ0gRfRXTp8OcKu2qNwVSGPr56WZQ
dUYKMCf8Ou0848hG9YWMjfZFamn6AWVEeeFjTu+IErY/kd3spJuq1oE1Vlkf3IRRN50B9aAiN8O5
2SRdC1DObT18bS76nnwuaJzZZ2xtrztl5Fivo7kX6J/6+VSjXMeinfHVzUMKcZPF0ANCQZPQPCLG
nlHXoY6kubzJI9s6SgaRzqrLZrVunCR5q9KoQ6SF3myVayJ+yGww1t3y2pJS8rallcQKlE6+aSg4
qkM07Z0g5OhzkSqsrQIk3CozRohxtgXLSTYhW2Y7ZPw58LhXdbUzEgOs5JwO97T0An8ywhhi0clr
ZAQX7gOkqmv809kzWWXzUwsvBg6tzvluyMrEbA+kcV2gSTyEuvXWTGxedCYJn0XkgvSYy0Q9jSzM
2XBSehRY9Wt5HoHhXEy3mVwWjCZ8gvzVaoqYyzhNroycQkQMDcZqdEfhkizjpZ8GzlMSviPd0rZT
WJR3knlsexiqGBiRSfG2SCpoJpva+dAQh/E0JsYbwrNy3sdBo0GNyqwbuqnwK7LqcFc4xNoy9hit
1dQAF1gxMhq3qMrMD0kth0fG8MMr0Zwxhy6icEnSq17YK5kI9YRxL/uaWVm6JnMsQ48ZJyuVt8YL
CZOm49ds4W/aivB0urbdGGru1i1FcpyV6D96QfiZdS35LY6L3MJL4IL384pMOb+ojAdCuMMVtqDh
OFXBVSz9k47ggRHbMB8K5pfmA5igVPM7LxYnssydB9KKgxXwSXOfFF57QGRC0SFohz+Td8AIweKL
IgHrYCoA4FXCw3RVYTHa4CjNNoUwB2SDXNPdBN0K0Z23UzxTnsqpzHYGAzFsXkZ9m0l7fEqJVtgg
nmWHnBXOWjVEjONC1R5BYmxHGxpirZvuHRK6/FpD20G8EyfPBtqVQ08mwJbEZ/UGwDfdDylaYHCP
hQ8+0vvI2GG6CQynfOuxEjFyn4dkNTjO9FDbceWDTKQwMRvfDvXoHJXdtEv7qCK9htDP0Sidb3LW
DGxW4kaZCKByjcd9YVbG5+nd2Ra/u9xYp9EUTj2j1OzdB+c1WOKCQB9wJS4+uXGxzGFM4iBZbHQ5
W8ztsFjrkFXCaMiH+NZZjHfGuwWvJW59Xmx5QIiWKVJBDx/Yzqpqxrd8sfHF+Pk612rJg8XiNy1m
P3ex/cnFAFi1xQJVZJq4mAMTr7BvgKRmfqA41svFRKgs3L0yBr4WffZwGSrDu5Fh2OxyQN0A7RYz
YqkUvV6lWFdHeBU5E0leMBcDY/7uZSynhb2uD11CGbHYHeVifLSmFgukjtLwZVCzK489QYB7Qmg9
vvsSpi1FVtntURYYH3hIVftxMVjKd6/lnFfUftiBvDeW2gZ0r5qnESrF4QGZqNzYePwWYc4lNRJx
TzE5HRMP0ZulNylW59ijmlsMnsAqkSKXoYHtDXC+9ZilBiuDhllWkXnBZoBNjQ3cuXIioFZcrKNO
aPaw3UMr/qj4G2cz16ZmTZ05X+t376nSsaFmVNYPZQ0lgvtVdNRemFXrxbaasmRl0LmYWe13Xyv5
XHhcSWbWSb5KjYVzVmQPM/DXaqvgvL4UaZSfrXe/rLFYZ9FYFiwTCAFZUazm5ipabLap2Qoc3nmD
p6x5d+KmVY18PJx12vk0UNEzBGnjVCvVJpgoMPOGkhKD1IhDSVzylVA/h2SIJr+YvSMBQetwykZp
xRI9cpG/gRk1Poeqcy8OWImXDgfgwXU9ON+Ow8plzcSTnVkAjXxc2xmExk0Bcx/YuzIqFOmD+9hM
NYv7OmXgOLpSAj4DtmlXJEqnXrZxCKhIN1rkGeuJaIg9p9ZrjxhjhW+i3ESuHe3RPOYwrFv0T+Gt
WYlv1eKUDopSOxCi1uCr1w7ILn1bxFe2zN6qdxSSXRLXHvTFaE1ecAz8BPN1CnJsjYtzry0thpS5
zwcxs5HeFSW1Ib/J0RHFN33iI4lDzTedkR1ISsFNi5yCn/O0RVFF1uKQIWAO4ZPOaP2z8AkHkFzR
Dg47eB43dOcLGMq9WGaDuk3XfCtuQW4k6WctsFjTJGRICAI4vZhngx5+wimK05rWDPsJqYydhOc0
VNOKcX57kIieCAQ0+pVwgpnQAJaAVtGjdrE7fs+ehY2zsMuHDFNHZm70bHzFK7FpushvQZ9vSru4
mfES3A6stLbImOcL9x4yLSvwNjx6jNUwTDX5piyBj0nRhPcBLq+9HSgUIxVjPLIIcIPYMSpZnG3W
bs4bMmddjfST0RDB3RQII1i7Gcn1a81beO4ya+uzwzyYxWPG5+vWmdynjPLQq9i9b2sy+NAt3AL0
cyAMonecQbKQDcZ3yMG88A6IqwV94ISKJN6Fh9BaYXBqkMELn4C7FQWN+Biynw23rSZAqxkzDc6R
FXZ876iQuGEiqmdfjTpL2dTTn8OiyR5a4MwY9Jg36ngMs+YoiQajBnWbmiOvV8+23T4QUMC/tQBo
21ScOGAIO42V649Z9QrI21pVzuBs8QOsPdF4W5Ti/Vdz6iKT6lR3r2FnuT49VtFyy6nsZWKpDTxm
CQoo66D/xJ0Vr2OhyPnJ82ifM5/bjxOPahHTwpmRFx4TsrJhwjElYGRqgGQxa3XCpMWAIQ/14UMo
0uylZMa2j522w9siG/nkUrjYq9DJs3FFlHZ6eJ8p/Y/K4nFSX//3/3p9y/HExg0Api/tD8M03RUA
S/75+O0hTtM4/5u/8p8DOM9Eu2DjQQOb8Z5b9ccAzv1NB15r6gZor/c//1Nb4QK85Q88C22zELQR
f43fwLWArdWhsdqL6sJy/x127YJ9+W76xlzPhhItTFanDm2zLX6SVgQWmz86F9O3+0g7zjUuR6Tp
Fzsw1VGOw5ItOrNMZRaCWiwcn+IhDY+ETpNForfRxvCW9EWzd78kUWNsglZJ0hq68VBqqr3AOY9W
332yf7NW/BG79Y+/709LRaFNpNG7k+F7cTb4k41GUZm6hewi2OgKj5pZeTpLeVy7v35hy/5XH9Wi
UvmOqKUcO1e1siY/DtlGzoD4rjyQEWdUY7lNOq3czF6GZ8VgO5Ka4mbsa06eystxnBDFlSjBfnom
hKTUhpyRFVpbWUc39A/c9IpPz7HGm8wKwkvQdoQjy7Jkj1DofjPH96pPtjXk7jTRkaa0+A6xLBBG
+jHFyj8jqsDOXjLt20dt3j30EFTO6SJITzOkBZky82Pu6eVFULtf6mIeXqJuaEkkUOUZPQqK9nyu
drVqt3qBd511ekYKttYuYzYvwrA4GPqTPZTjQeKL3dOAQBofw5hlSPclqb2GJ3bJea5ioe+jQkt2
c7l4wUMi0GsM/HtmWng0g5tuQrCSqPrQDJsh0z4yOSUnJcMePSXeM9Mr/KaeOtUTldEEEv2czOEl
z5lXqBCyGiMlAjW6hbWiMk5t+drmiEj6AXKX6ZHv2SMeNPvpBhGL2NGLQeZfnvpaZLVHhW4VMmJA
bEgWX8tgtnYj+YRI7B9BlB+DeYJFXyO6gFBqauGaGeyRNBPBGEevMI/ZLKwJYNzFPJ72ZeISpkRI
zaoYF2PcpJfkFsC6a5jVHgTzi09DWIc8v8iwXAmjndjLxHdD51lH7ho8+N2J1RD9sGv2O2wjjyNp
AHdjPrZ0AzaqDqfbgQ9Tvo7HHqLQsI3rkNR0BnCE26C28zoYoUwyszOWoS3jSWNLSENwcAuebTit
goMNBmHtmmQyEP+r1mDoBFIKkij6EVc3OILjAofQkBKs+yhHD15beJ3wHhMNhMdRWNoO8ThaWtdj
c5V20wljGQCXGDW63uefbVk8togza4Ri+6rCtBW5j7pOigtLdJoBPksxIPuFseQ7Vjus08qS60LC
F8hMl8oJ1j2LxRWge+ELvk1sJsHeER9woafr2qJFj4TKNlbWJeTzEhZGTNIGsSQEfOkm+yob7uEU
6CcttLnVhnFgCUaWT6laeZoQgz0klqFtJkZC42A/pKVAkOOO2jqf2NalXXJ1XAJBCOqg6gIdvm4T
RAmTZu61od4LU0Pr6IT36ItwduQeLIP0UOXufezCKa6m8bEdY3gd8bpto2tfGcovBcMY2W9HElqz
6kZWBrNhvbuPIuU+mUy6d4AkKUm71zSGfuKE9aVOzc2UF4+NVm/N0dtVUf5FN4ptO4N5zKTRryuz
idaNZV/ZU0R7rHmrOKnu4sE7svu8GSXlQlCYl9ypcG2REy93IYJb4uSssvkM91nwuRf6A6XVrjEz
815rdNCzMezfgorpS2+yttWL2mGpO1oe0RUx/87bYn/SCL4qWsD1gAoBJqnKds7UwsaO2KWOCDn8
WsXFwUyx4inAwZs6T3GVBGYAYQN5c4KE288wMB4tzsVNautPecxyk9NvOJFo0T3WHtniKO+x8oWa
vh8io/GBBeM5Hgqpnw056gev6ur7Ksi724Hkbz8uUboFAyo5EhdYm+NjWAPp189OFdyoaTrWJjJB
4aSPE4O1Yxq0PB9S+0OHX29bK5gc2RQa+LeKBvs96HWzcru17gbRprUzlhxgsYhtmmcWPk1MMse4
7F5qCsYwxjil40XzyHX4mBcaSqiZ845U4nx2E78YkI7AWZj9eoBdqxnlN7Y7PrPCdi8c6Hca6QN+
48UvpCLaWzsO7iSjW/QaAfnezUiATL8wnLTEOKDzK65su+9//Rz7EXj2/gB1XQFuTVqGpIj4id5q
aDYS3rQxfCwfyJxzx8/RAxJYI06/fiHjRwLlP77ST6VF2o5FpGPm8/uwE74deF+NeYm2003mWqnz
2TELgoKFjetuOXmVHMrNr3+Fd27cX7vF338FuD82y81FwCqXauK7R7ZbFgMNzWz4nFZSrXXb1NbW
wodxMyk3Wg0eO64MTNazav200KorEIdxFfWezmIuqE7e0NZIGsqPDgjNuxTdD9PxeiGaGkVxJY87
8FODRLCEIaMfo6YnR2hEqjBPHIKFfqxZf/lSheCgJASgFp1IXud3/B7aNmyz11+/37/7br9/u0sF
893bJV6LQKFUGL4mmuC+qUdrPU0E3OQuiv5fvxSr4Z/rRpS4SC/xS9g2UMEfX8oYiEtv09Hw405+
Q95eESFtf7LwGm5qoT7++sX+IWGBb/CHV1v4gd+9MS0O8p6VqOmDcrqdO2E9Wzmj6WQI34y4rgh0
S9vbLsqio9uas99qsJXMVAnAXmF78ZLOT/gm4ce0e8aa445BTbv4N8h2GyG/xTFfIepJ/PFtIjbm
VBa3OuHs2KvZUhGyyk+DsbNqLO08LkVJtZQnNnXKr9/njxjE98uVit9YJNOuy+f60yocwZ+jazxH
fKciezV1An2dW7gmcs/RbuNeY6PSVYx+f/2qf3ej/vCyP9XURLxwuJWD5Ws2ewMYwW8yxQk/1AFD
j1rXjsU0XjGuMIpdqhw5EPv1f/ErcCh5YIFcUjy8n25UnFMj+KXYYFKCI6rhkYgdFQOFw0qvFdoq
U84N2hvqTcv5xKlf7X79C/zN5ex9//o/3Tnd4LH1LFDctVn3yWri8dpCLTjmFUPwSQvPv361pVP4
6VjinaJqJzOEBe57/PB3l3PETrRmDKb7WKGTMwsLEoEAPmx//Sp/cxr88Co/vacGVUifsX7283Zk
xsMbXDWFDd7EUf/i6/u7V1reChN2Qbf6D4eBQp87zwQNzwF6zsE1nmEPHXjO/It39LdX6vcv9NM5
QP/RtUFW2zxNlPwaD+1NYkp7z8wpWGGrth7SkCHSKlzK42oplE3Vqn+Btv+bltnWUc1wi+qm59G7
/3gYBdE4VMjnLL+TifLnoe4flWkbhzgeLV9ZIy4EL92EfQjqsp8o38KoWssqgyafa6/guNKtItwK
YEXTFKc0zJ8d2KG3Rrysf2Cg/foqsP7xYrN1wxM4pRHa6NxjP/662GzTIIeC4isyCNCZYlWP8MSX
c6avHW2+jJ4zoqHX/a6JRhJHY7WiCdV28ZhSvguWpuBdrA0LlANlarBNSgPONj1No+HRpIn4pkjI
PuhVTgln2SdCXGCA5EAW+om5l9LidqvmktoKFt2qz75CxzZW01DlRKr09rlpmt9LnP8ZVP2LQRUy
LZ2z+58Pqm67Inn9/P2g6o+/8vugSuLosTyb/anFOcw8iFPyD0YwtF9XkK/ElAhdg744dP5kBJu/
CcZXkuJqUZCZnA1/CsW834RtGkzPLCFRjOn/FiLYe08J+evUXLxJsAJMNvRM0vjfQkX+vggIwxAm
XGEW+67rG7820u61iB21Cl0LW1ymYdas0CNmml2eit6l6c6L8FATg4z7l+jQTgj3A6At8QYrpQDI
hJIHeRtJzUNCQFlaRNsZldKqFiI4snxCvjHOr05n3/Ls31gdGhtnzE+aholl8GhWZRl09OPx1Zqa
mjYk/kBm8VsA3tBCJnVMG1XhBM1Ie7F0kNsVK6k1+IF4GycSp6KIIWyxYs+O1oyCRKXTfFMYMv8C
Bolbk5rr8xSbWEgzZCzKm7SdaWsh2fCOHX7AECXWrPfV2p7ghJNMnX5CmpWRZsarBrkVMoSKM/XW
8xQ4oFkLn+28GQ5aUVob6Rj9hnjJO/IKy9eUXL1jAr/iMKAYvuk04oBKbPYWRpfSGNlCjN1tlI2j
D5SvOJXh0MHvbcS4dgo4npRM5tPEHC6sx/EhxpZxbSJSNU1ClPZEHd6a6DSeWk8Pv1ZZXH+MncG+
y3Udc4PuerexW1nIb9/5gkH8ACjPPHjm9CHhGLmNRGw8YMIRh47P+tTmQXzuI7f4MASjvo91Bn8j
kIMNl8a6rqrkdYBWdY2gX5F0E6NtJK9X9g+2xzZaquhrgBlgTV+NYr9zKop6IE6aPakvzhx8A57j
kvbojc+Rqfw0QtAFsXAbK8O461nBwzVI0tvFc/7RdkZ1NiZln6y8tg7kUmRvNqZgQoLrMl81SQS+
oLC0azErBFQ6foMvCrHiXrlhfmhGYuFpI4ZjrkObHMDNEQVqYwEDeHcwCs28VJP8GtQnw/xoJbwy
B7z30BDafcxE02xYLUiBMaxTcJknQkJz9jIz3Ok8v2UtmF69aG72njZPT+acGTdEGNbr0C6rZwP1
3TWb2HKGOo6hyayY7VV5vbYWnFOHpg9Qs2N6l3zoavLMS9Uwfwosgv0gDGaa860bbPfKiqrdVoxa
d05b4RMuzfHQUgJdQQ7iqouB7KQCk08s3R0LQPnopRpDrizPXkHLIODDeRuvhaMR0p6GxpbnXrOq
EAbu5gID1Th10Icmvdo4XYl8aY47QnCnihFHidik6uQ+S/T8kM/yphjrfW5hSJbuDBjLJaheIGEX
rcO2e1T7OWSzl7M3BnYHn79YD2b5WaBUMewsZqLDaIeHX3qHEj7eKYrcfQq8DOKIvXOM2tmjvC6I
rNDdlxSuEPwXvejvjLga7p1CvSBb/1zMISaP5twU8st/cHdmy40b25p+lf0CcABIJIaOjnNBEhwl
UtSsukGoSirMQGIenr4/2LvPKWvvtqMjzk33je0Kq0QSBDJXrvX/34+swL6biUPYKw742xruDovP
8htz5HrrwWByqOb7obHuMQRMqzyr2w1gnekhROePZR91GBO+ih5b/iFkea7jGWkI2vO10dkot23V
vYCyhq1spPOuTm394pRJuy5BknBkDdtjSafI72jEf7aEk2zt0ha3dSd4mHTH8IPY8R4EUmGMZJbJ
4uGN6wZSwbqUhMVwHxe+a0xLWN2sxpeQvGmEMQnRXClABBTD5XF0sOM7ad/s+jKZDktTDVRF09gH
vD7zjv7qTOb4LLf0a8kJFZRBUzCNdFb5tqdURmsJD3FlaFG7S70KAX/glCsFomyHzNNdAqkE8hEM
NPx0iUqrBkKX6y2jvbQMXkBVImND6X+DEr4/6tVYHItscOmuesV3+sDtaYhMHTV9qt/zkHNWjyOH
dtRQ2TFTuEE82XHp4MmeMuWnBSrOFTIjFw80C58fxa7YJn2yMKXs8GP08icxVAzl4XZrGQUPF2Kf
WSXdg7SQr32hXVEAwyrhkwMQhK9WkPo0IWWCp5m81uEyvM3cZA1qrUXDSNhSUGfetEpMKX1REyrU
eB3Pf4sDqImNeNcWUr9rnMxP9S5jzO+RGRX0MN2cG6hQMHFExNmQQiuZyWHlKPVQzP14kiV7N0QT
xpewuHH8d8MH9PJ0P6B02ARBf4t36crxydpgXR+3s9vX67gBK4ekY0ZvGKidkKzg0khmQoQwNxDY
2396YXuNeucJGn/LbJ1fsDZSNb2qhGVjFQZ5Ivc9aCvgr9gn9VaH+cL0tNWbGeFjANQu8+S9bmc9
tE8O026/D3qMWymrfhY/CuGcTRjOJTSKdZ6Fud+0GoqRLIBYPzbRTa3pyXEsU+uAxrYCuS+sF3qx
4q0RCdkaEAjgj8X7og3UAzHD9W6qONivjb5fVGtRoV5HpNynirblxckndSo1p/3MPRqO3LnLNoh2
KEvzYttI29s4c+PdN3gjQDB3vq13rx0wpSCBkjok89nIw9uyZtALlxNcb1lghfCqmFD0IGFRHQ39
qFVVuBpEcyPIEs1HoEVm1BoIScWuzBJy3g1wXVUiFBpJPC9ACw81zqdxBA1kWiD3+KlPo5k8ubWL
lKuYIWB/EOFQQQv+dJB+/oTUE5zBYKLaDKQJsaF2CzR15J1synJo32e2oc9k1t0N029OFikJVsQh
j9C1nKSf0Rq77WNKtgN6hinNTbQDMXDQXm83E1OqW8Qt0Ua2OZrL2Jz0Z5aexSsUjLumKprVYE7D
DvKMsSEo1d10A1TtyYjsB6iL4yF3pznf2eFEOxVYwaOKNDbpyr24mkTRTC/qeYqRoqqSEiXU1Sfu
1PFRcWAAOOfY287K2L2FyL2ra5XPo9PflUWf+0URnWFRb+3OVatWdK9GWz/VaBFWokjF1ZAeOg6v
mLZse95tESCN8yeQaa+JJDKzpKygfc+Y0tqBmdrPTXxqY2c/tEO3GVB4h5vZygEvp6LM/ZAWb9Yk
gJWRqQMSp6/f3U2afp/q0Q82tGcOfR8N8tpqHOBUhGG1DQ0LOXHC6EjiwGTfpQoLIh85p7NJ7Hm6
ZTavr4OGfEsI8zQaZbTNZBACEh0xOjDC6c6ob0gGVNUAUrRJgA9LXTyy/Lo304xoH4+5ZvmU8CQD
GFSdVnTWyzQ+aWNDHxNN5b6aG/1KFTc9lElGAAxzsTvDJYQpTz6skAI2H63u1PFFIy7tbm2YUBjC
kQo1EsOXbMyGIarwjoEZMxwUxrgXWq+vy1p7TyZb7acqy24Gd2KLDioUEE7JJKaxx005R/KmGcgS
pvyujq7Tm3tVDuGxChI0cWP11iWj80xqo7sxe9KKV+mkDYiByDWvK1ddvMAwdkNSvrsZonrp1cof
2H3QItmHSkOv1VTta2XX78AR5SY2W2s15VD3W9BzAQL4Fxnn7muRD5ofV5H2VFj1hkYHQkBs1QQ4
c+k+IT9hL40N+zpME8nqSaHLFYLn5mhXaUbsKnK/ricvbGhtLmoe3gShpu4cl00qRGwp2qJ7IR+z
upGxW78RJb0QaSq62AjENRYe5hCkvjUI46t6gXIH+AXyAHK7p21tJ/XA9Vpyp/oueCqmqLpikHQ3
VVQF94LBMgixUB2owYb70syKlzokvAJTpLXSpJzuTQ20Mdqo7KMEQL6rYrv46SkVMNpC3e5WVNDK
SawbPEDY2mcASe+xGUc3sof2sTIG1zzhUIwfwnCh6Gt2FT83esaWkSERNLsgBBmHODwUuX42HJgh
XY/+1Y6a5hDMOS10pwi/wYAyCFpgXjYwxP7Auu2dNVfJ58kwGH23g72yabC/eU0V3qdVkj2Uw2ge
B9dFzpQYcc+lN2kKcBLweWKg8TfL5lpE1yYBcFrLiIKtaZ67KLD2GgORMwpr5mRDVZAe0TanXJeO
j3L9cyiG2ljNKrK3RTZRuo0i2Kaz7b4ZY01IAxiGe+JPGn9sDXIsGtjKUL8lQFYpv3Fkrfw5D71P
1TIO9jgAHqIJoq7NhOfcG1G8l1ZLQW4V1bEUTANAkqKnLSrXWJvxXaoNhd+FVOYuRvYjPHVZrJk/
n825vuR6ZK7g+pBl6LQ5ev60ZXptevhCcdzJoU5/8kGRx3m4QFInwi6ZtSVaxGz6KYP5R4uieuXq
dbhWgxtujJruHa+yxK+GrJ9ZEZyCKDwzSaJyxOttLmBWG2g/fVMZv8RaMm2GGXkQjibSOBKCAuAi
5Jgtt2SJo3w0m+G0HPIjiM+f1aB2sIC8U9l6kx/gRd8olErPUYR9CQLl4hHnmdtkvd2iZoBWBofI
uLEowRhMmsVTSAEfcJbrn0PEhKQV6g/JFAZbK9i6Q7Az0io90r6/JoO9cUKGlsFESa7reI2N6TzB
jNm2oQlTcRovkAW/c3uOxCHkybkrGe1L2KBYRir4/tCzd/VsiGKFvlKtpeBGzYgrb+vEvnRZ9DZH
+jlk/fSZMelLbRCDQWDS0isNgA6kkD08towpZFxfe5XFGz1qqn3fQKnWZJLv2SmSo9GrYlX1uXvp
ZmBmDanxhFGGt72DqILX0sNjPHYGgEOTpR1vtGlujDJATDp75otpUjxZLi6xDJBHVmbICJQGaD+V
+wiOqesOQML74SZnKSSRQxv7h0YmxVsemDw8IjKCH3VQzNoqiJa5ox5VGLswjF7z2tDuIZrkbX6o
LRwbbhvhA5/54s9lnhbnpE2Mb+yA9VmRto69lcFIkaBQWc2xMYZrrECvHc7ZZ/z2FuhNzi2rNmY+
BFZpnA5FnRo7G9/NjnmVfV8XY3qcWrs7yKmU92K0rF0H7+CHXSeevrGJTHiDutT+GHPyfhqleBh7
Fk8ujXcKCJ+DW9m7e88cJhSZFozzsmmJcaytV87Sw3PfxflDWw3WOXVMZCtGUc4rW68vgu/0CuuQ
NzO77XNoDp8qSyAuxXN8jPTeuEwG/9WNgbcmt6onl0CCw2gKzQCqZht+buFAo/oATjZpN1oCBTTF
ubB1KCxgFlZMEzIDPJYJYZsyHY3wWVee8+Bko+Z7hD9RcJf5rZ7rvlnPuKFDNLaqD+O9PfXp0auB
vAKtfRzt9L1Wwy2RPtqK7JIPWFTJwalqgBHYeXVMzmolxpeGw4/LM8xAdrrtvOlbWTE4jjErXn9v
5v139z3/3wIc6Q5G/79qam7eP+r3f0A4+seCOqr/sX/vP7P41yangcjuj9/yzz6n+G3pcNK5/6OZ
iYTuf/c5zd9wwlseP01/cQlD+88+p6ljliVOfulmfulz6r/p+MZ0HT0eQXcLI+k//ueP8X+En+U/
BW3Nlz//ys348yTKsUAhYDojok3nnRBT8WU+nyQtIowgC5DbIUJIRoLJoq3RmBvIb38jaTP+PG9c
GrkcaQg/4wUNGr/2l9cCyq9KxaiYKhX+j9MvsVx7AnDRQ8vt7FVv7LZwibDFbjVnvnCW1deReM1C
k4dnPI0gfmkB7n/59v55QX69AL9nuv7a5/39XQmOOpiWSVa1v/R5A2jsnp1Xga+iCaxZdcjsoaVt
4+B+qP0ZIZOj5Wu7treLl84L+80UkNQWhGxkMNhM9cdj9adv6Nc3ZP5+zb+8I5dsPEMKm+9E6l/e
UR45SqN/Cct77qKdmViHsJDWPc774IJZD62W1LKLynoIfaM9H+MSR0Y7yw4VSW8dAA180+pCXoPW
yE6CYdXJsmKwwgVVS1ej5h6+ERmTkQLZI323y+IWOXrMVBB7IWQ+Wn3IqZgB+6IBib9YmomWqMqZ
2lFiEZK3Okn2nkq2yio2SWbdeik+rSg+0jGi3XUPLWFjhtbGqvq1dCdfI7EaIdqqgONOxNuuq+CS
2+Ye7gj+nFfym0gQqNZz/10rTmCXMxxK4qhofpjWPvVYu/uXvkth5nNQXKvROVgtuatYAxh3ZbR9
BV2tvGEfb8PrbB2JGDjDlV/P+kwAw4RaOThK8n9SCyVNkN1McnjI++JIMwAVjNjbDMUA1bTbxTK0
XdSSIMY2zDLQ8bF9WvVtT9nXiJ+jA+nB4jWzgZlavxUkMDXyBfP6Mcnl2inSg5FJHG3ditpzi+Ji
zYluX9NrCNF+29xHAEE2nLjuy1pe+T4R+jDYa9FCzUOPcXSkzVpvjOp75FzMoropYH7FsbseyO9D
6YYFjSezd3206mstfkiHcq/V50k5ZHxF730S+Jb1HYHot6b5UdS0D1HHp6F3aZjte9Md4P69i8Qr
d51tnI/rkIzAMyQ29RC3wbeQgeHtVPHNOV16wZU83JvzWLbrkFvLbAPvDgdJ+SMUxA6uFNrEdd4r
HC84HT+JV42u5hyW7x5uDioLuTw0S/aQEUQHBzmcY3Tmk52aPVrMsHvDy4vSj7Sh3TA4EHNtcB7P
uUqJ6JsEZHqKElJRUsOKQSJ2+QOxPB2kpIYkEbC7AtPxOKFJVfb4LglR3RN0DstohIFzG8EquRGd
uMi6sa/13Dv3LYjMP2b4/93b3/93dAjiFkhkQivyfx787brkHQbVr5vif/6tf+6J1m+WYy+bgAT4
xx7G7/tj9mejRWfNYypomL8rzv9r9mdavzkIGATkQCb/y674X8M//TemgoJN1jJNBi2G9X+zKf55
hs3oj1dwGbUvm6KJS//LRuWZcW+znDh+KxH5rGYmBQxpyEb45aL8m63n696rLyp4Dq9MKWyAiOLL
yzQYI5EUFbZPvdp/63XN3bq6IEu8b9N+FxKv/nc78LJz/LqzLK+I3MdydRYLwU7855mml88p/q/A
9h2DVjODCj2LSBCIaAgWjihoYeTxg4vQYN8GMKMG3dNWKMrnb8UkjJ2OxuHY2BGKYlBkvjl3ydGb
suE2D+f5xmCA/3fahz8rPZYvgmKB+wCZh4fyy1m+qF+UKwmW5WkYASqkQZl/DP2UAkQy+CcQbm+T
aAEtydCx0bO45UeNof2jG93heQoTNuduSXXBSvRUlGMLBXYuf/7192f+633C21uYJgaVP/ck9+Ov
b8/xKl3BSLb9zlDWbTyTdIzRZpl4NkN0mmhBlauCPB14S2L0dQ388HL2pNXkMEAArftiTmF+Af5+
MgwF3V27jiFci1WA4xDsQdWnbwKLxw7IF2qoklFSFxpEcU2Vuv/rz/LFbvDHpcYQJ6g8CPHi33/+
LG48w8XqhESbkUVskTWbzjia4QYDc3Qc6hiGTy50iX67GT6Im6SFkOUFJPkib+V+tD1GE+PYvtlW
LyDqGgV8OE2+jphHm0beOnVsbgon7tcOAt1LIbr+0JYRCtkweVMSbl8cyFcPHPC51XBZF9MFNyB5
fxOJMCk4LprhbIgwaWdcF9HvCnz2lm0EpHeFuw5M8eRaqMAH5k9Kjz5cG2viykDBe5J2BVEgYUq9
iliNTnWuc0xMTPJgaCWOyetfX8tF4vLlKQNGx+LGUuQKa9Eo/Hpb1NmQKIV10C+kME9Cy+eP2a7s
G6sWoN7Hhvu1wDlYMqfXizuvCOrNX7+B31eOL+8A1zYyRgptQyCG+PM7UA6WOQne0DcCkV9KPS22
ZTLoNxxBdpwLf0L3ZfIO8R764uhG+b7jTf+0q6z+bqmqva3CoacKIkngMJRZtnE0wG0g/B1jjaVQ
Yf0om30PhGM8hSqfPrxuMIAZBOXJ41T7aog0vFkQbii3VayvplAfb1wE8Nu2s/W/uXNZ2v/lcrM0
LHsSwdGSZ/HLh3V11TvLU9ikVX8Oc5qLy3drHRSakjscPIjcDRIIAyObr3R/w5NQEj0AJzK1N2Cd
PsGAmT6xces//vp7+DcLvLusYUjU0KO49pcbIQunHEncIAEomCAp6/InZAWK13TcOGN//OsX+zeX
ASWjaXrIEJDTeF/EaiUbFK3yVvrT1DivOq72ZRlJLn/9Kv9mRf7Tq3xZJhgtxnYjaumnIo4/dbTK
cPgKTa2sllnIX7/Wv/lEHkfmReqzwJqsr59IGyC5RMwts9bpn40BCtkYzM7f7MLm12OpdA0KB9Q4
LOEM1p0vAjuTJdedssT2e1nfK6iJjH+nXULzeMwfSy++jIVYi3H4GIdpjeoXrig9oxX7ibtJxDBt
vA4ybRtZ8HvgcuyckFOVHO8bUxFYiPXDVzE0J72LDsrCl7kS3sy0YKg+seKv//qSff16JLopGgrs
lIa31FW0Mn5demZrhk9E7IKPO6QkEpL4LbpIDJvsUtv89Uv9y2VbOgdsfOgzONXDqf3zS0UziTNO
p3lEu9ghXVZIDY4+96ewLrKtAHO051J7f/OilIJfHyrO6zzulEssbA5exS9f14AH3cyJVfb7bHiU
KIp8Ebo1iMhxeOVAltvEoTX3eCcOdTi8OURgbB2mAO9JSD4uuPETtQ/eeARVIrDv6CTqG9aWahfX
5Nm2KDuaIH4LzOat7Il31cnagQ/C2JyO6aqic75yhvEgOWiD+2v0O88eQKfk0LriiRANDYQOkWST
jhgjkLduGSxSBP1GmRpoy5HoXQ9S/Uqo/NqRPAOOiiY728KETYQ195BaLtqMsrvM9rul5o9Cn5tL
MecAp6UMX8HmdRetSswtfhRy7OaEyXHFyK1unGSXMaTR+XOWvE1gIjZjFxfQbMem/zAz0qasCGnS
Km+F9TbGJiFeev6oFLko7q7jc4KPNH4Q3lX7ZFMS3aSF+TdHyngm0UnWW1mlqV/EnsKYLPO1OcHD
tio0SsZoo0wzk6r1ib1lz60787MRqYuTzsG/ZiyKAPoLwdoz+oAYR5tQj4BN4htsDHxmTUH0MhhR
BiYP+IDKDWE1RFUVHbPZ9VxF04lEbusaROhGcOr4o9B9rxz3ZVRAlc7EPrAfu6UJO1qbdjK9n9OA
7X3oHnGTfyZUl88xPoUtybu577n9Sx5VxyYfmy2y/J7smsp4rpJEXPu0lkQTKNrbqwmBH0YRj6j4
6pp78/MYQiXoU7KZWlXXYL9CLQOnPaJP0Nr+Uo8zCKQ5k3ctpNEPXCDNpatd3aKxHv50+9bbQUBC
3cT08dpkrvFa4G56GWKxwzREDFOcjO5dWebqik98aewAAJHr3KxItUn66SkL5/Yqgql7UuRyrCut
nh6Ba6sd4t70rCkw1PNYa/cphda5I9VonSxTCaPKHV7ZVudg1jo/HUYwjeBk3sFq14fSLuUZr3e1
ifj29nOSo77osu9170zfk+UTDrrUdrjI78g/283lI11OUi1hmCAiug00p9klejIcSiMtfwTE4DyW
OrdkJfBMyo4wS8A4xlFzMoK22qrFssqwsBxDeXWqITqnS1dJVxN8YcIzfrp6M2613pqOWF/zC7nV
n1El37DckSoGjpdQtppO4IvTOCWElEGj5U7rIBKIB5ETzwcX/82qq8OXWjUvEIwZRLXSqL9npUFr
301xH3lVvvPEVPoKExsUmKG5qVEeIGms7X1S4zirNReFleBNYaYmh64utFtSNOnbGAE/nBbofOpx
X+XVcDBaQdKwjXnVdJbk8f5TSPCq5QgggwDPgp6XGHFCRvwAtrSHfvRcvx97bZsK170QakwOS6m5
D6KbvjeuLO+zesB70LEq8AzOG0vE/SHL5d2sdHHtoGpntOdK0MDNsADPaS15RhttI28YaC6hcjFL
dYPsAiioWLTpU5SQBz5HT60g5SEVaj7pOjhUWVbNeiJxaCuthiAuu2IObkTJe9OR9tGHcjjHc5Bd
GccM0Li03McD3G4iNCXSit+wDTbb0E6KjbVoy1sdt13v9ZtRY5IGPATWkDaaP8SQdCj0K/QcXsSM
jBDzOybLHrwjjnb2VuTWswgqyRoYEpoaMe8zHHpPLSbGMJhORt6jQGqAXCWPQZoWfGKVXoU+GrSJ
YvNDn8dsMStT6bsDkImkMXEh1zOg8LG2LzVZA5tCRfO+GsWDEYxrFEsmiGMUTo7TgVNWne/V5vei
r04R4TfgOr4XMWybGCbwblC2uas1/QH9F1kUY39byD64GTqsuisJ6+a1ZVS99PMKumccz/pVFOTO
FmkncH0116fWwL1ogugfmzSEZdy4gF0HYx0NYjbXTjmmTDBrVFYwazUUEQUyQM+KwXkEpHSAdyuT
JD2VyCLuNFSAW8IuC7BApTpKm7hEy66uUYpMDDaD9g4Jt3yfaz3dGYEDtBGSot+OVnwTB7V45V2X
ftOlEmRlnO28ESR/ZKvo3TO05Fi5OgGANjtnDTmC50J5+z7uujUkF46DJGptwGnlByUk2PhJElJT
p/ptBhBji7xo4h6vr7XxM43oI8Dzn5pHF8D0ujEidWcya763w9Q9wSabTs7sJCfIL5NvZW3wUsze
9NplKQklZmbcj2FV7eh3sxdGZrKzauJ8XIyua0XSzravXOdVhbp+iCNwfgkuTgR38NHsNNqMKSnE
dHawlfNpb4ZwkicS8+RNIDrpE3qkP5oADa9Z3IoDXVn3xvLCzte9hHlr7vJfjdefKycBh14lj6Ax
9XUMiWnPLepXXfPdzZHRFARFT3jpl9XFiyIjxS5E2U342nRoSALGa3lU3UXqkAQbu7gsaqdVqEa3
XcMtC3yNiJxbUdnlPZ5b+SHjKn91zEKuNc16ZrYgNyUsayqDtt/Joa+9FVGKhJBZYI01FKBHhhQ2
axgJo2jKBQzvBNevVlcPmuxxco9z5vVbR8nogP9ZbfXJslaZQVQmkiNu/KCtNYWt2bYOSdjD2nL1
F9dqnTsUU/2qGzXtSiJwdjvH1YfdmAbxErWgAs7q4qGou7NGy9xprJ+FWx/DdA7vZOrZG8SquFDI
2Tz0guscOjGIcQGPmXbULRxnvw+DNYVasK2DfFA0CKbIJ4jVuwyG113atgmfOOERikgambEFcmhH
K6fp67MlvODZqR3jPs9b/dZsB4D9IPRuR7yPyKJiPSclLYoeB0bMd5puyU8x6t4PN46KYxrHiY8i
Tr81QBFvapJWkTdQ9G2J6xX9inVheje9xrnJ+2bS8N6XhU9ER3GvCqc4RFXC+A8eIrMVoakTGcT9
rgE7jADYiI0n8KPVOolSzyW2mf26p/1TrnKsdDu89BZbZVcFj5YycHsvEYmrZsjDRbqD/qlB06RW
VWQSL4xR+rmU3vgKNTHD1txAtCFDIQowwKDAhLVVJt6ZAM5+a6IG2SASXYyjgSbfwootyFFB9mab
KJU9qWnIvdE2rYYh9269DCPAKtFt0rO8OcHCr7SqWcF5ni9I+lgf27pR+Jij5hYh6j1AL4z2yUuX
W6TfRZN5rMMgRKk0v3YzuuAGLtZ6ilISA8Vc+iaDFGLn2G5004G26NVztbSIxk2BQXwDM6K7MUUN
tSvooq1DSMkxJ0oLOn4ejIc+GraYB0i7IMGD3TUm/CJfFO04qZFExeq5GOdTF3zMlnPvDuZj7fbv
RhUx+Qm/ybR5jUwLw1mo5deqx/ra6AU5o3ru3GRI6NtNhuN4U+pGg6t2nr1zrquaKYs37/NM6wxa
USZ1kisLEhTq9kFrELkYpYuQ2FJmd06LmJD1xpaSsN6CIRhvoburAhleM298CMZc7MEdFW/EYsxw
/gdd7GktDZ8MYtqHOXeq3TSWMKGUcvaFNoX4+tn2PrqOQZvKGf+Elo0mvRBqx5PsEodYl1CxkmHf
60b4VpQoOWujc327DAvGNd4R8aG6QmpH0mt4CN8JTlIHRxbDs17HbDqu2wv8UCGpcHY5c2bV45YI
38COf/J3Cj+rcwAr1aQRAEsZE1kk15N3l+IkxycSNheio+LIt2i1+rXp5Te9FWnoMu3S2UJbc3ao
MVqWXKsUayxk2rZokARro8OBwaFp+ASjqnzjwK6f6BCUu9o1PR7uzsPNDu3bCuarkQwkeebFR0vT
cTuKVn/nGTb9SQATTzt3vkMESNA1UyHKYHwBBwH96VaPRJCs9LFObzM0bJea4sOXEQOj0sjKXRe4
8SYWlnHKQ5dcLv1o5k35fe5C4BFRFT1YvVY+zJIUk04RQhGj3+ZQ59lXciX0b5HMvPsuNc1b0yEY
mV8Z/liWwm95WEYPBDVUgFSMFLZZQuydSjTvyZnb9hGZXeptujZm3GZk56gfxqcB3VtCvmWKmJMk
8G/DVFR8hijdR6E732RtjPhtDqsrxJbyCDVSHFAOtufYICGh1MzwJVYdaAEzLHiAaCEOtgvqj4Lt
BTy/IE6HoOIdNY+C+ttbGvzL0dtXTNQZEjKHvdCY659Ti8bcqE35sfTQHDHnHZoryYgO7ZQZAH9B
vXays9b+HAy8FShTEGzjbFDXyk2Y5q20wTQP0uF8HGWcJvfAYUjhLOIhWwalxT7C7f7SNHn9ViV4
An2hMzhYldUMkYPiPHnqDOltTOg5vpVrdYMfMedggyVFv6miPjprtl74hizVvg+YVWrCIOeNXNc7
tslkW4s5EzwlVYis0Z2eNSzwT1qsZaC/XIk+eA44HBYtgp4ReL7rcPP3abdXfAToEK4qfvJHy14P
VkZpmU4uKHxPqxbxc+jKey3CyePUCVVIYKYk/cKqfDJag36lrlPf8b8rEseC0e/n3rwYfU74ikbB
cw4wQr1Lgo3eCkkqmh8Ysu3XZUG67b2I8BmQKUOxizC4q06l1bAyhNM9H5QWuqpHjUMV/HE29YkA
JDvfp0LTxXMeBM3PnqAJjtY07oqjaeW2BT+AcfXJm2LbJMTccHCcTWk9bKikNe2C4qJ1TwYIuQXB
KV+7fMz3kA7FfTYLbx9rMULIvC9JuKbCT0qedqkIRy3zAW7nULEUzHMHvyuNvWiLMEtBJsFQCWrA
VcQ61ZN5Q5ea6bEdSwZVbgm9QQ4VMDwgzbep8JonkhkTBtQAdDGqck7T3PHnrLw5pwtrDcdZK/Pv
0lALtDZji5zYYYkiGnpxkzv5/GIS6fqTSBpSTmepffDRUe8GA0EpbqDaI1shywDfjVX4U5e79Vm6
4XRuShtdtouDZNtLrEV0w0LW8z7Phk0v0NpVQakuMWSFc0k65TeOlhwXnaFyvydJndLcZuF+qbCH
p74rhlPSRi5Qu4HIZCKvbfXWVB4qRJCvr4yUeK56JKQ6Vo6Hog/cm6CWYbrVXPEdBIIvBnQJVmsx
PKGfuUPzfkzToedi0wJboa4L7+PJyR7Hbmy3QlfhSRE5e4HxrdH4qLvagUlTNNuJcT+u18r0sbHW
LbzUsn4RgKT3CdvXM9JHUMeuG9kJn8RojvWcpO8l5ZI/kI8A+EEPAa12xp1qEs2G49ouyAuCEQmJ
GontXZNIFTQb6UTskmMPL8UwOBhwGv5uyso90F0NT2Y/fjZG/1k32pPOEWCVJbFxgO6BrKwU1hZt
hoZ9p+ieCfsKj6RReDcJjM7P3smJoJ3LeDrT2WJnyCmskRyaTreqIDv4qo6b9Twq7bPxBpB6zNZ+
kl86ND+Wl4B2jfDGux8jK5K+bfYI6eYek/MKbZVOODU69pUyerEmI8pelcgrq3x+lnXdMw+ch+8x
rjRSU1zwwmPg3PVRK29b1mDJxwo2cTs2dHSIlT71bTUf6sFCWlFNbziJoRCbGuGcHExSNN4TQkiW
iHFTT+CnO/pw4c7LF3K5O1wgb4pXAsz55GzDK/qL7YEZV+nTXRLP7E5rCzHLTGDlJM+aMQ5rahkQ
r1mK9tqYscXkcD5Ar0IaqNTHlI2023Ii5ALFWVcbE7UW1dACIijITC/djucAvS8uPp1TM+BSc0Dt
y5bcpua4s9FC7Eq9Ac2LlxsYf2eqc2NqxVa3aueA8SjUV6x0xgOpifYPWhmJtxkScpzWGiLk2Wju
86CO7gyTvqCn4Vxw7E7cBoQMtQn34WRPZbh2XXxwfOMglYgXYOjqQmrrIkS8vfc6aMJ5jmbbPqZT
rdapOxu0ZvNxI9l7j12CH4xwFpuIlLh67Q0bgb7M8zXFgQJA1A/ruEdGY3necDsOLkD2VtcmbAcR
0zpgYNHVmTgV4y3oT7XjxT/CmvBOhelnLSRTLDKti6f/Rd2Z7MiNrFn6VfoBigWaGc1ILtvps3vM
gyK0IUJSiPM88+n789tVwMXdFAqoTW0SiUwppAgnzf7hnO+gycxeo2hYny0rct/Z11e0RGA8SKke
GgJYI+LQc5NC1iCoC1uuleTMYHP50i+lTz+Ldp4WqD6JFd9ZTTpg0N5sJhC9yEkgTRXemDMXyWGi
loR0XkGZTVwb6Wam8Z3gpogot5bxJ8coLHCDvNff+/jmVrjOSY9jkx9LsHRNXey7xB2esV7ax5zy
vuI09RpURrNEHerryXpKCOW7b6oqJMq7gENatTmWEW2uM/Lw45SJcu81a7rVY0cP1OVm24Zp/ZjM
1SNBp+pNzOGmbOXPpDJfPm4oUsLNfJPgjw04ThwsW+BLAX60O4N16RjB2HquK+AkDQFp52KZ8ruk
y17L2JcbkY/x30ZI8eK2jvOKVTgEPKAQMDfjCxJiJMWhmZ4hBmPoz3V2P3OTlkNR7rooHZ5DUude
zFoUh65HQCcLpswMdNXdVDpgd/F47YeuKjcsQz4Hr4WCg6fqMIfFacxb9zDA4dymcf8XAN36Z0EO
qGprDsgbaoNZry4s6RrbcV2cgPzku4aMATJqOmZDIdxXnnAV7Va1xq8g8vcr61BFUMKJfD25s5fu
t9MV6yWaJvXgDT3moxZeFDYpTtKS+RNEUnvYV5mNgbTupbeDsdfohlasz+oxaHU37NMFm++mZ7Vc
7+wmv3gtapEaWS8spRHk2mfh6z+DZ0UHshrFaSnhGPRebp6Ikgqqzlzl2h8tTAWbqo+cC4lhD8x+
q5uRE090+lRZ2v4V1+vE0UQ7LCc0W/48LhcGYG+ZD32ztt2AxQMuAcIlonGoTwosdHRDRPXtnP9R
PVE+mWp/rmt0xQtGrmOUVBUWSokfit2+5Dqw9L6+hcitOjm5cunqGy6wwPZUssmi9HAv2pqxPK80
yCYn3rBS+mbcLFKGlLQTWvjzzxJ8ClzmDMNRZWjahxkB3IzDx42yEQS3/lUVpfNimqgcdhEZeu1m
sshHcJa0P+bLgquEriI+ayvJzAEis/5sR2FFXyQCZryebW3oe33xSqYR+O1pZNqWLeMu472tg5s/
aPW8xSfqr2aU0SbLU2g54UtTK+jcg1/5B9fD663VFlGcPDdaJuzhx2lajqO7Jl+hG3IruimPFMF1
VfpqJQSwO3Sksf8VJSEHMYpNN7Dx+4QXk9CfkHBsCPHw/TR78iNXqxPb5JTwxIH9CPvR9JpjhwnW
DCfi1EhmotAk0eNzHxpS52/nqW8Q6LXJczqN2cvQO5y2nBvlQQEiXPHblRodCDFbnzWu6q+lkvpP
5mbZpnX8gcxQn7q5o68LZDXn+3XtJdacRfR4C7juc5uPmmZwpFsMMcY9eVb7waC4Jacb3M5m7t0z
4WvM8EHlQqIl82DFVG1XEPTr5kGl8tQV9VdsA8lhz/VAGh6wk5K4rOjSpb314ohpwUEbldGTpiC5
44mLP8MmbeiICXjvIvvqLrDp9TxsowWbez5CaNThAoo29Q9j4f8co/FZN/OHA5kbyzch6Nt0Vc1p
JlMk8qL+QBpKde8rhd2t5UEvEoaNEeAGRDZieObuRrDqZUzJ0rwudrQBdKq95eASztex+F5HnQet
o7qAsueEq09tejekZ3JwmpXoWMKg9rvpxcdc+RYRP7yZE9zLMtfNfYp+wM6zO0BM4U7MrtgKL2ZI
0VVh+EG/gGQfVVqzdTO1nsZK9T8TkXZF0Jplvqx9Z0fBCCiRwjdhLdz0XLrFEHHkxYHHvGBJI/+4
2MQR2rQ6kvOnqO7tvNQvDZhkCi3mp4kN7h2k/id+YXFYRk5cZqvzXVLpdivJ4/xYXLo2hKX9TT+K
Hyp5MG3xMU1CPUUrAej7rlfLz9pOsuNAdXzn+L35IGIQwnPDWo+SaNWwJxffvptzy242rsuPAT0Y
GaVFF4UPitHQb3pTupA1De+TMSoZVPDz4ydpxTeTtxb5Gy1csu1a/OwLBs9C2BfHt9gXdGP2VvTN
sR3qaa+L6b3vsMd3VfTGAvlQw6k95uySdsOK/cxewHdvdauZcafWg4pYKXKuJG99BeDF8Wo6k5EH
bZNj3fhbrsl93bg3VvRycGW7LQkM25ls4spmkB+sXsIEPq53sVTjtkPoMmzQa0d7fykgBlaIUcwW
jvcvOUhdI2qspyOoxvbDLn1mq8ZpTjqVzR+Y3DY6KMkDMiUt2tei8ceXHAjcHDSiz45ZmNE1rKt7
JXexeJMzYWoH8otGHwYcyULlBEkeq370FDfZfe8OVBZoVAlUbFg5wOw4zq2fF9vWHm6JFcW0Pq9z
AsjPFRNmudiTR0wsZB2UpFlTraTpR8qp+HsVrQhKtC0vpg5H5sRzDSASqkhNAzc+9hlrs1GGNHKV
tC55Iom3xbnnnFo5OmVg9JTdT9Qx53EJI5IfO2JSNnE8L8Qs5hUve29L4CM9P/LAksM79uCY/mP1
dokZ2wPkpZSyTp6MW3MNTrE+6I4KCnJ4L+/o4CA6tGwVcT036xOBCF2aWN8VYO6gdQmUyW4V77TK
5Bm9XnWv/HEIqiJPH1PoTkdeJfUIaml9d2Lp7qDA6y0Ws5J+T/cbuXYy0LBCAifFb8guL7siMyKJ
08XARw7sBJ6FzwdgqbcfOKUPRmXs/av2thlrQphRjBvOIVugLdl4MYh0ZZ4HGOnw/Cv9mxRxXPxM
9bg8shQg0eBoQKigEm8wStgVda/wc4kBaJvVf7QADV8Ez+dTXAsepUhhIXDW6lmjlNoA6TewuxVx
KhyyDKhQ6dvEFjBNyZZk62W6eEnQPh+GzvQ/mpCzrrIx4h6mEmXbZrFTvuPCGmKk5+UNQRy5fUce
RfzbQUf7qUldeVgk8HfWiVYASkpuqlTpwHPJf5Q2UXnwu6tbeuJyiS2PKyeqRj6dqWq8L2uyPktv
+Y5GV91pXz3yQDGtZ5qEQb5PH2NLFMN2SPFhbSdCG+d7f2V1fajpeocD8ClOs7jtxiOPdUP5SJDo
Ziq8+CTSJHpzG7tbbhfRaG8rn4R7kO2ui2Rg9a/lKMKjdov2t4ywYDNzD13VPzRWgT3Mnt0gyyyo
Af2UIp+Je+iVEcOiF56u5EdW1uKDyGyY/m4X7SJLwxiFsfsAiTQPGhe+AGxSDH19LuwPVJf9W7ZK
BlNeQYBXugrvFLeyAcNpIqADK9710M52vlmXl8Zv6mtJHgH5xCrfGRfLbjnbNf2oPUrWL+IfXfIQ
zKpsLlZK9yWjPD9rMJ8nq/dJduAOIfExx07QkTp9z6Clx5eRWV9ZFJl31VFolzRJx86KO+awLiGb
SQqttTe7XM7DH8tv5CmZZIiPC6NeHsTkeYbrND/yROaU1A6GYDOmv5V/S5qNo/XFdeVI6AP9Tr1d
WB+jYNgyNd6gb+SfGVOSV3yS/hCw3PBmPH599yLmort3sqrR97ZXjud+EVDktTUNO02vdWySmA36
mtmPi4phZVimAIUt4nxXmx6NiiCiy/VT9zUclbyPa9JTpXAZ2uRy4n3m1aujjiWmt+ZvcVsgIbGQ
UK1ddWdV1ptbWt8KaedrUVvNczVg4bSqOblVtdUYOEnyblvt+LAMkfuq5mx8JgKg2qYplnNyYqWT
Dh9ZZbpHLdT8YYVxv0sRolxUhWFicMPhg2Plw2S5ulusW30wFdm9yhx5KfPOPuRRDL6GmJIg1GP2
ZyQaZN9MoDzaYkxoVWxOBwRWR3rDJAqaWvZxgPxDn3K3aw4jiaqfRdS0y6ZfVvm7UBb1WFfb2P2o
ky9poqNt6Rjmsk5ZQCgGQRDVpF81zk0aUZIfNyr810VtmPuY/tAqdzjXU1gRjSfEh/bzirOWv1UB
WqgQTwxbk8u4Eg/DzDblq7rzvqrt7BQNuXqs3abbFb4vtlZcepdBMNJIy78T8xozc2fkJGYcKKP9
drMop4HXD1g5JA7h2BimxsaLPr04/oNK6dtj2kqcJwaRUOyh/WL9IZ3pUDfVd2ay6mYMIgOmzTfF
knH4Lc6WIFdivqPr5MJPGDh2QGBARmYxBLINQEcU73hlg0E42zFxxSkf65cFJCyKIWjFY3xc0jIP
9JTcyAEhVeA0s8jysHPURWdvImkdV7s558o5DulydRqm34swbIT4ksfOm9O900fokesVKxTb/fQn
WcktJrIovfMA4L1I9l+vuqRjrNaEUXhRicO/rQChmKTCmCN4Jfqy4ti5owW2YZVE2aHsku7tH4q5
/2nHyP8mwySOuX9SDW6/+q//812CF17uvwpCDv5v+SfGLfnYfv357uJ/9oPg3uB3/n8ziIevwxDZ
rWFi3hJD/8kgafg/9s0Hx1mBYUQjBvwPEJzw/11g1gPP+J9hBv/BgRPy3wkY9X0YhBp7xX8vL/Rf
EJCuc/sjBPpGnJgGjeO/SnixgVijIJVp3w7R1L3Eg+e9rq5V0vRiG3xwKPi6LeDlBrP7XO0du0/Z
r0T6v9A9YjC7STf/WdPNXwPpAl5RjeQfhe+/uEVsPRrY+77cVdCP3jNvGcg39MPTGBWSwUziX2dD
YCGaoyKkLKorBJioQpDkzfrIf0r2FmPKQ0XSz08dAw4pYxhXVNIEyxVRqB/tfglPq8T7ufj+cB+j
WmKET6zkzoH0/RR3LXu/RpbkbkHwshjJ9MEcYR212ozOXLvLrox8YkXtYfrA1OHKfU/AzQ5THYsm
hCfLxpfMalN+PbjtgYFIG2LfqiyEWEPq3BeJso5gjNiNrzQtX7a28ztN5GcLwSYf6Mzs5jKbPkjo
r34p1a9/BJK9V/Z3/oH0L+6vbCKNKs+IWmUpn1TwJatfvet1p4GC9SF2enG2KyHxk3vDTWnTP0ZG
hQwF5YKnTp1zllEzSANCSU30tjhszzepQ/iSkwrzIQjACipjy7d4YsA91JkivQ+32sr1x04rsvb8
EputTggaZ4rbY4c8/BpZajqNOJoYKOf7comWbQPK4kI4FVI9BCa7mgJh5w6NJGeNI2i/uIjGw95Z
dhHVzqvGZ7L1k5uxJGKTmZeT/mBBE+4wRLZQnWz7WHdq5VtrCAdf2PgYa7ojKi99HabZ+jFNzbhP
dRseWZfbm7aSCYh+knDUClimKVIWzFj6n5zCU9jtjDXcTXXRnpNIOVth5B4yxp0TN0evtC5egxky
mi2zH233gY0+dDkbKAN2ywT+YCnRwKIPJ+TcP2QEcIH1gwDrxHj0gLFty3DFxJMCXuLmJijbbBiD
0nQOXbmdijY5KjbO27onarPOsv6DpXTPYcw4b42inmG6Zf1yycDYeWO53BcazZk/8TwlPFZ7Z+ig
naquuP2b+RO1yC6nuY5+rNKSt+toXO4iB9xYHlfiyZ6VeBxAPT/YNZSvph5nSBY1/Z1fPiS3tVNc
DOuhRs/9lOfaHPLcWZ+cPkx3zQqVrFCmCkazAuhYEqYijNR2Cpv/rmTqjXREOoGOyQNtMb4GwDng
9U91/Z6XSvFp0hKWeRbvCCP+q4h32hF6XryGDltKF4YdFTdffYgbcxxnfwUEPTunSvfeoSwjuVPl
goGkKtwbjc/3cdHYJNLOYb1tiQ07tj35Plm02PPBJVmVIFU4y/tB6ZFMJGN417rMbC28tDgpiwUW
BVXEebmRywY1m4eks9TzyPLCLrv7uV7Xgz9WNzmzgzI+L8etMxpxF3nEQnDI7HBmPNhDQWs0oVKw
S3YsQiW/6bbivwXM68BHWR0Ifw2vi5jsh9VVzUfEqX9UQ27O7TjWdyULmdNajpp72zUPdI920Aw6
fI5KR33J2sNfnOI06qdh+N06efPMyexRjVXtT9nQUgsX5p5PHhEeYZRr5UY7kclOpNDA3tEtRY87
DMtBr6yAt3GUFgv1WjPswzhjMoGMoUYZZ0MUR0Ca3g1TDYqE9MA9IikFc9DrYOUBUApE2br9Vja2
YhU9jKpnRAhsZEzCd4U96QGWZ7UGUvsVe4o453P2AQjpz0J4w5MlK4OC0+7a944VdpAxoXkwfVuQ
BWYQI6uYxL9WL4cOW8V5Wor4sxYliRleRKlJdC9GYFITCOQjAZRZAJNXdY3rTJ9dxwmdnar974U6
LcL9Uja7aejLs5d3+sNJ/JvAtyoc7IWKyafnmkNJFUnsADu8v0mVLTUZam3/1+2AdITUmh8F0qxj
baqHMrZ+AJ/qULHYAqqFYeZWJpA4atgWkC+M39/s1s5n7maGAiuOqg+naPOTny78AfbknsKJsnwp
CkRVMpzyrcX0CttEE+aPIp7Q2hfh5Mwnky6jfyW9V2Tf7FG64VmkhfNCS6DmfV9b9Rc8y/krDGX5
XuWxhVfJIFYIKy7onWBjx9u7Tm810ZoWl1TovEcjsTUsty6LxyoQ4eHSBsZMK11xnwA7SdSkAnN7
/qO6Vc/l7BUYO8gEgYq4mL8kSupnrsLOO01umqdPPZzSG1wneRnahpJADLPZKjQU+p6BZvOXzBYE
6jEu6B8l8rLfC7acEzNqfcDPZi74Mbxvv8BaAdnITo+WJxAopg7ZRbismhcZswovb/bMLCPGbBTM
oJ3Oaswzxk0YCWg+nx1O6xcWxc0xLSFdRl0kGeFnsWfYU3nzHdgVdWSyFe1c5rT7yQldaF6T+94x
y/UeOvSh6XnMni1/9C6pTNE7OUSz3IiH5Lb4zCZ+VH6bfE46HZhL1glDHWh5RMEmFQnSpEI35UO6
IijY9Um5phsU7fYuFzeVB122eBJoVzluLSZek54+iGYRb8qa1AuKpuLsi07vpZqrhxAv4FuJdx0F
eYfD34x8CWqtKQVT0LI2mJmcNpXsL8IFc0OVZqFIBuAikGMG5bRW324yy703onoLZBSOb/CLUP9m
aVOOxDRl8/0NOdfvMPEygF/jEaN+VOAeSMUNxRZFp7CrZvz2qOoqBsw/InRDd67C3U5HwHitcFSA
oEbCJ+D+LOhZLLSzJwYh68PQ37Zvjd+xtLXBGIyRd5jnFM9wWWRFR1pgWPXzBak5OZ0bsmIkysl5
nc5dlcZnyplqu0hBiCVlg3l1uiGeA6/mfj/QVIvHrMnZAWCA3GQrjW6Qtqp95nftdQofsh1uhqRC
l1u88y5ZOd2yiysMpduya7uPOjRsH1O9MIiR/T7MIDzpmNDTsmGSVQk3P4TVGj2MLMb2vcMz6sSt
dzXWzYoZtQkar03tfJPNNLflB2jCr1ATsaSys3Q/WvBvEvYCvg9ntrpf1JfVvhe6RveHEvSHFS/N
Y96ivVRZmBMsg4v1vrK4LA+LfcP7dZl/8Kws3UbkMh7SUDvHlNHIAdWstxUlu8r7KuGw9fQgMHGy
X5tDWyyPrMElmqlq1XfGL0aQvbGFYZoo+kuCFOsV2Bl7shtZjPVofkqBHaEEiFW3Y8S4fI8MW10i
x1AukSscbks2tcnWTztX4ZdQwD6Ym0PkqwoPn+5cdsRyMHKGTcvAjP2B180JUud66pgxFtFRzxPA
jaqFTML28Vq6g32fMu2V1LfZ+1zFSp7ZcFjbdBJuePQZTObH1EvLmxWTKbtY9ZFveQoMq64jylnx
i1gb9ehMkrCYlojhF06bWPPgDqQXxXMSbts+3BVjOJ4BO2BH8PYEhxI1zabmEIUlbbiGBSaH3Ppa
icaGm2p66+yl6VejLP8BSTCEREYW+fdQutEDuijN7d9juGlnh+5hAJ8KKsMu71x00sh5Rvud7YH/
yAWHnMmenIvPZB+BgRz2+Nl4JuYq/EuALwxRodyHWSc3NYE73GTsruAUra13y6AzxKETosH369I+
MPxlhMmW5Rk/EGCOuZfqvg1tP0j8FaZDCpZp4RQ/yAhAJxZjyjJCSwl47L5bh4xOEwHsdREWcXNG
xALrVbCInFBnURQkk7ooPqFdumTubmSlhW3GdXaGiwa5dkMWcRK6d0ucx+9iaO8bafp9l1XdAZd1
N/Ndr/31pvG5mKx1OUhkPhwreoytz+ryhMZ4eXJmNktOXmL3yN+MLL6xoz/g/sFlIWJoZXNm75Eg
A8FOPG4mRNqV63YbI/r1IW+a4ve4tMNDRfW16akCrvGaxUcmMdPZFb8yFj193zv4RDKQUPMCGtGJ
6aXYBS9g/vaCC4kgyX/4O5IoOpqEEDc28psqPs2JPseLubZldMnWxNxFbiQuCFjbTYZjkc1Irett
LkbAijOpq1NDPlE3Tjd4JkV0GVWB8RYCbEiQ2qJ4zp6ihYo2bNlRe/3gPDmi8M6jXY+7XjAWdi2P
zFPe9suwuHi5VNUKSlC8aDyGcFGQp+2sGRkDCNRjmBtzYOV5Rp6EMnO67dQONiFWxUjuU6mRsqBs
heEm0qCVoNJbqQlnY/REn1WRWCncQuxTlvuoZ1H/BEXWOtt1nY+AoI+NTQ2xOiNIZgnkGYdKfuMJ
cv6NIx91iFsKc8Ni7aouti5x1Pgftq7hroWL+IFY1Qn8JsrP9bwOW2GJ6C5HGLTTkz+yx0jlT095
6gfDvPqZCjg9sV1HaVmGN41qbT2LcdDP2dpknJUaBz+7S5CyOCgITm/WnU3R9hsDFS20qFWKZ7b6
o3A4Ievvr3OTXjAZ6u1ih79sULG5WoIVgQnmEOu1SQfrIpfRbGrCQ47WkrunWQ7+3WQm/8UL035b
RqRnV4ICdnRLteuU8Njt11c7hkYvsNUZhK2xcugi7eI5HeeMOqFsv4QpnW1hqTBwaPFPnZLHOVut
s60SMKhi6u9vI+2z62fPmvwr7WG4l057X8kfjT3fDWAJVya9sjefWTw9lGhkwJnPLyR+71FmQ3lq
j2EmbteSwfcjbrPdooU36X8UBQLRMflqGWwEeZs17ObL+Dmdh+LImpKDfVLl1ckmyXOMENj3sotH
hDo0B2e9IF+2dq728mOReQcHfHOQpTHJ0jb56lOfRwc1Di+2KomjXko2ITkN3jpaTcbDUZmTjZrj
uMZF9lvJFFge8lUIhlNptunAGSlJ0mUNqba6zwFV+kWIGsQN4VBpzFAoEpmE0+lj1EjdaxKxUfRm
d4vFZzy1eZYfEvckhvhCnvJxVQXYSZHoN5Tg/dV2XPWWpOjKNi3OwJ2WCxdjRu6gIUV5IR3MSweQ
WGi7362J3GLAytN+NVgSi5UYoBj84UvtFo+ZtlHMQmn2RsOWMz33RfNdzjB1C4Cn8G49FLYc8Ge7
Rn2GqmTPiKk+gQIMMWfMGalF7XK3Svj8xpX2b8X3x25oIGTPLWfnAzh/cxpTz3uch1LvQ3B4MBzQ
eEbArEdQgXumxxi0QuLtRPWhDMxaoKvIyOTsL08FVl6JfM20+1578jAlMH+myeZHj4gBtebk7yYU
W+jaWPmiDnG2pjYTmgEklqOq7iLEuPMqvh3gsxvQiGe49LOdbSG6Pi5Jfir65Bcwoe8lao3a2HVF
IS4b5HvaRKDFBFIark0rmHSOrEBa9q6yiul+yEaAioDFj9xcx0zoo4CJOznjdmIkjKqCqGav4oVy
ix237beZ5L1Vav/QuetRW+KiWURCq1/2zTh+DpLkRXZBirQ+roOXVtjLvQrjz0FBZ2wr610lvn4o
0rn/sjSBcvx/Fn+ULS4NxEk1dGOUKNbL7Ku7SmGaSJHnuVVtro1EpYHg/IMDPNoYu9HvCmUMQ36z
EE4p3gvQbvB+vTZY23hPDR20NfTHqv8ebCjwI1fzxncRLqOrZ/RfmL/gD08mTk4FrJJ4Kl7BlFNe
amR4oJM2DRf4vgiJWkehnJfLh1UD1YDASzDBFNqgq7FsvdBkd/vcSe7ScEwOvugfpzan1FNJ/Bh3
6i2t/CUAHT1uYbxSLwJr3oN5GTZEHe3nJklY7sicUZ5w7meW5VuPZQGGsjTcglTcyc7embaq2kCL
8exkV2hol3pKEl7H8mVIi5ta9hz6HQJn+FVm9ed22w0DOvxKFK9RU80fyDJJNe7wZtFwbIp6JuQq
nw99nUhMEPNSnZIeARcRE6zsRCyPGZrXx2Ydo58RAekIgdQXLf+rasnefpT1ZhDNH5c51+uU0P6h
iwtPMZOhXTmPVwv59aY0Zt2ztfSOjsxTepMBgh3jlmGo6ncF5fyYpayysFV7aidqcHtlP7bbpl4A
cbtMzGgbwj1SJPOyxlMShPY631WrMzPLlKY5GZMO2xZTzLb056t1M1zcQLJ8UHZ0qMkN2LnSXQjK
rVXyNurZuec528lhuS4G32oa4sxGt8jU67SmyNn4vd1H1znWCYd0sqsUYSb8me5vhPXAPXwkMWH6
ggQ5PoD8rw+tX2fvVsnku9Ht46BK/l4Eme0wo4VbJMaIurjnqZNH8JQxljOZ18/GHkcUceNuWV0H
1bfVlKe1xurXTNOnrkY28pziJ1DEzh0U1VuOUQy+NMUNiBAi4jM7TrPyrm5Us69mLlS75C3w60LF
ECouYyZUzS1ALGKYg/LksTTp/IQ1voGVfJuHg0qYmKTOe6wd0Q+kLtm1I6fvXCoyNXZdkiLnsMKu
zNgWzyzcsVj9bNOpP0CM1/uKSpOCKhu2BXrpbbLabYrtnzUZ58KSCzRz7hhdR7NcSp1a78QYo/yt
aT12xBWJV19rzJnSywAI5FWRXueOkswNa3FEU2FfWK+Bn2bTjK5iXox77+LZvYQRmFh+i9rZgLGv
9PLyPfFzfWI93Pzt4prSMXS669TSMJWWsp9wD0YPlqnUoYlbgko7AmkCYRqxi5KBm3esC31l47u9
BS4r4ct2kzKluPqtli9DIaNzvkj5ysFfPgxGxYcR5U25sVusmBJuTrOf7UJqXGM1m+O4qbn6WGgC
FmfJp5uBSVi1yPjLM5wXmwRdyZsUHvRRcnJd4h0e06bCKD873yF0sV+2EgQ0QbcM/4R5UrxShnym
vs6Ip2mf5NC9Sh/J4HgbeA3rdOzXpd5n1M6XebZ5XDWDL8+U43G21vKr1nDVvRq4cx2F9m6siIuL
GA8iOMvWR3sYMf3aeZ/fmA+MzTLZ82o5DOgMiPObWKxK0vreQxge1M3sHvq4fxuXuOCH3/5IRNME
LaDCAxHL5n7to+R5sbrmpxN5Fp630J0OSg9OEwyOigEz0thE4Wsc+/4JPSTlzlCxXR0urPdTDrw5
PS/S/ZtQ/m8UbvstsGabk2DGrzWSe/sq8oLLpEMyiKkIhhJJMY+Duz6ayPhPscviXoxwMKte/i5j
j4dRJ+puLqiNW2RzqPIW62sEvLMLK/+n3wvviMUXs7P2HPJI0BiVPhpaVkR5eppHKY7curTG8pxQ
Nb2luYAHIHj8kH8h3p4960hjh7ekzZ/6xIDWZzG1R8p2FRTqnYdFVa1MJXcjgpwTOAfrflxmnyGG
8xrXhj8uK1ivtFm6ISZi3A4Sdn9JYrXKa/Jn1IO1NrfUVRv/NobMs/BQLogs85kMmezSl/OzkC0v
Z0u8s4uo7SxD/2WZe+cSl+WLzUu0sfW0B1jgg97OX0kzuF/6GzjU1OBiJMaCzZoRKBXoYbWP2D/7
vaTC4SxkNIo/GtER+Ql4tS4+Ar4bNaF1eJjhsvECcSAL2PBvi2+ZP5V2mVpWsY+puYU14OvuVPEY
bhevZle/rFmNdLxM7/q4Cx/bdV3PAI09YgXhQGZ1+qYj82TAApA54H8hRr/kc3T1mHYfHN1RCi7q
yacuuiTxELQNbraifV+G9EOPsIrrro6BcLrEODzBGYi3KwuWl1Yr7EJWlT8ru2ovTVcBPY5M/K5l
anBsAZWc5g6iRuuRISFcEJ61s3O92joU5GtEw9PMrunu5ts9p7xrX8UcooXP3Zqyu2+ZvQyaNwD+
6FUMkr1Y4yB69PDloGHyCKBoTwJTEN4NvSYHohioBhOqBYhcC9dJkaNCtbVjM3I0iFqbwudj9Ar5
jooWELk71PrkzXn5C0g82uh6kNWVL5qeUSS9oZQ+MCCU+4rz7Q7SXOoG1jhbv9eMwoz7cCKVeB1P
Eb6Pm/O0tz900lqv9P3qShCRfodMOQYzM/Z4mw1x98C5QBprBFfkp5n98Xfs9vR1DA38kaVQlun1
0pUwZZjeOsO77ju8dNbMawxPe7wBUmBWoMJJl83aJ5SZOekFr7kw3Smeq5XjqrXHz8l29dsQi7g8
5C5zqhLVUskk03EqqkGZP0Tas0r81DNqjDVC7cePJHGI1pJu8jbkU3tiHUUZVw4y2dNRO0irCigs
pqoxFLgS1ZyPvegjdcvf8f8j70x2JFfOLP0uvW5ecDBOi9747OExe8wbIoYMksaZZiSNfPr6XFIV
pEajG7WoTTUECJDyZt6ISDrN/vOf8x2MJ3j59TdjuYWjM2/kxu7c75ILHwu3BcFqZUkkETXY0Wl0
cVGx/+M/ONhqdTMHTcaV0vbfQHfzWeKXbXVjeYH68ko3D9fKTZpdO4z+j+RCvltGERyjJA1u2LKa
W7zqeDZGdsI92Z1dm5f+w0DTG5/28OKO7UL+9oYs8A6WlfTsnzJAARFrH5SuesVVcfzDT2fY1dpA
Q8AwdiDf+RgYqBdYgZ16LXHdrWVCGl1bgTmjrGU7GD8kq0h2rSPSfJrsWgDoYl4knKMwMNkmhLzz
1TSdHgEMYBxRVokpU2OOcVFlD3DOvbtyopV4TWwQEBw2MjI3AbdKAtsAGEMOPpNDZLH2HQ7sNe6w
T7qFU2IXibznwQfmb8XDEeCDe4d/5TNWKHpwWi+FqdP4LlpN45dIO7zpyz2uPfxhbRWvBnsZwMG4
8zrQFTTd+Y1u9EJhufVcLM552FwKV53nFB4L+dt+H+e4H+uRLKFJm347SIyHxji0UZc9SWCfqSNc
+gNTYLa7eJQfh5ZSsHAIPkyioRnLOuqgG4z9jYwQvwwS2KPArEq/NICFJ5ZNCxFvmTzQbpDvSBWZ
90Q7f8oF0aGIE3FX9331UuecHU2B/SuM4/xhmGJvP/oBOcU+7rJ8xRYlWNZySeJTjizJ1FFI4AmD
rR8JE1QVGXEs6OvKtTGnxiBHGEuFs8EiyZxWhOtk8cyZUnvKff1h3AsTM6A1l61afpxFw+rUG8Pt
5aQOGTy2IdHhdYshgDBYZ2M4ai8pYTWjpoxkQEiqbmQ+jdvGb5+YzLilaNHvIzL7N3KS466aSQfO
hfvB/i05cRHBpc9tcl11DDQzDdVUrPOqHaUstzi0xxtiz/5raFGslNrTTubefFBah4eibftTuzj5
rhiU/ZhN7rhnyYDMqdupRbuZ2456pSk5Z6MJaFvp+FYkS8Gwq8l68Dze81MV3A+ohANPgHOK7Vpt
8CiBg1hnLVnhejHh7zzXVbln+8IMyNbNQGOMyaLTU7Yp0FKf0kUMd97Q3lsXrzFq3k1ndHAUZSjj
lR34DXmQFDGus/2Ff6AfCa60TrGOIWLC9SN5NwWsVMLGG35KrAPY58vk4KUl/75Gte7e4aJwErY5
lNWsP7ESAoWIR4sQWOrX1BBW+cfsdnJvEBE4utirr9LKYWwzyYbSlzdbyGyfiRxL/+RkeM4FMh3i
Dvs7eo0F1rnV4g3BdioCVoq9M57mBbBS1NXDu569+V7OnI9YvTEjZgwGvdecwtonz9cGBOpX7My5
/3dzlj/qLuqQi6XycI/zhtaNfc+uYZdPPL+VPz8DaC5+FqvKn1Tchz9s4OJrf6BUY7h0JDFvu6hF
pCNq3oUOyQFjNW8WC9m7xul6Cq9qh6fCsTY2KJ2PKZak600yFi6WzwApmDvDNxook4fbeXcpiLYt
xiBgDFEN0MjzzBFqVQxkzAj7lFY5H22pWTBZNHTU2npPetN/xMQnAwJlIyH6PuS0GaUvvxPESsYE
MZGOmRx5wLNDIrAZuleEofc8W74mE5cc40H/7LlZecw7fylWHKf5m8P8+apnGAG8hez5MPXc05k1
CINK+8KxYmbZpHFOnKYw9UM0VwsBxCi40yC8tm5bToeFwDhZFi/S8OHTRuzqljggxl2ZkKuetLWe
S/BDlwGnQJbYLWH/wMYLgEHeXEDXqTIHwqAxqwwr2ludcR8aYY/XocXmlRYy8YjJw1ovKP0bLu3m
vvQpSHa1Tt8yXXvPXaEhkEKl5n1Q2pg5LAGKY7jo41bRO7dEWtCd7L6KWHhptab4ZNPkl6IhgHzj
Nq9nhPYxJ/rrTOlGW457TeNZvda1i8mnXgK33TRRKDegOgk3hepXOtQSUZWCYVhJ7Ax9US5b13Oe
QrT9dW478T7gbQrdca6urdK99ym52CmYWiuXdNrt3NODucqN+RpLryOoE03Rg2D53TMiQaOwCVU8
sqSNz9AqzT0L7ODLjbL6ZM3wRkRtj1eyD2eMo2lJyWeTRWdxgaXPnn7DQeyRAhr65cajOneHk6bf
c5Tid6GZ+G5wKwLnQXFtuHMdZKwIPk7RCx1qGTgxbL3rDtvkc4df534ajW9W9iDkC5Vd7AisaMHc
lI/tuvWWm54HYl0XOHxxfIZHlRV7qFnktKocOTKJoivp+7dtUlSbwauiQ0034BEtg/gzyTw+EWa6
Ao+7PCyyR9/sw7BaJ9FsvyV1j+vD87xXK/AeIcM8x6ad7rMe7EGYMMUVPYi7avKzTWXkQ8aeMMcN
dYBey+cnjmcIuy3Ka2nq26LBKE6lyNHjOvsAZhbdgCHqmqQHLlWGJ++mDePmgO73Han2SdjziWai
DTcx/6ruKpY2dpTS207R51vWd+FOlVUM6UpUz84Q8uLS7KSPtayvnCYYTmgCeEKEbza543YvJQGg
m4hO7RVjMg0oPYtqjKuBurzSrUthPNCEtEvlwbVybB2XGEdld+1uIqJNDG+YXaj+6SVhIOzygdf0
SNxFFGbLydHs2Enap8Ed/7S9g9ajUv+Q5BPSHrnp9pb3lr/G/zXTo2ULttOpeRp1am6jOpkOlwTF
IxbLcruQYbtLY6d+7LhcPE6g8sjhVe37XI5Q3LPBjCdT2WqdxU70G1AL8TIqMhMZuMsKRTrpCj75
S3fHeil+rYmpboD1oRpksCULAhj0OsAckpPfHOkwcKmtDPJbr1YI5Ut2iZBNnr5HG8i+y4l9Mhie
Gr4BQiR2Byc4zYESb04xGd5ni0I1NP5pWOa4p83GlPi2cvYJvoi/uyQWV1xU0m9EQu4Q8iJFeZ18
yBnCodz0g38V6beLFPRqJ7iyVnFj6/clCdwX1I38HX/acoe24W3TmCjY0sfyT2YJ53E2AZuDpCmf
EkmbGmsBxnvALSA72/Ds2469z4bOX8Mpyh7HlPU5VKqhvNKZLH4bxxvPNccri5k5uSNF4JMppYWU
RnQptpZMkquBgO6uU5w1DM+1fV+W8/SOzBLcsLIqtxF574JHXqg7NgbiXA0M4FYzF+eisb6k6qNd
0HN+DmVylaVGsc7x+7u0M86nX4/IigWfGVJCmlBemFsYg3qaIbqFHB8tjCvkmfGRmBIXQHeiCaKs
wUMtPUIGGOuJHJzr/LqSvggcOrQStdZAnnUG3HMfcDnYsYyD3kOKYz/1XcVjy6jP6IxawDbKfZwa
lTzKOG6o2uLuVVOvy+nKncdnlub49Q59BabZn7LipIrSPAcTYLaZnm4i8yWhCZdrLVG4oXiNZTsj
RuPpfxsFjI5VXMoJ2QF9e8FXwysqt4pdaFNLqdxg+azbPNhHwIDWSlfeOmbkXMey47hi13dGDdMH
3ydZOC0X7b21B/WLuWZeR03qnxdi+cdxHkrYeSSfGLroWSimAE2DTQwfVfB2oiLHP6oQXWEOLGeF
LS/nsWSDTR6GlrSHanE0zjg97oY4oYU2BkkapTlWeVY3ZzWalolZ+QdbAFVeq8iZfIbKOfpdrIDy
Xoh1z0XGzyAQytvlZdAcm3FKbns59HdEI4ur7AJgSBeMgitSCBE/cucPLxzrZkxmpbdBaUUA5MqS
d9D/xCsmpXTLeQePxicOHTV//K5JQIQk5Xup55QVCpbh56Bk/+Hjvrof60R+FLEab32PpQs6LWbY
YoQ2mAlZ/73i5P9nI3yMT/z/5oS/+fzJ5v+zE/7vv/UfVnj3rwgpLggd4Jy+HV4agaY/Sv+v/xGK
v2xe89T+/K0o6AIV/4cT3g3+AkPv4NLDvIvuGvOF/MML7zp/2WHgxtTa4BuPaFT/z9QiOO7lj/oX
E3oA8jLA8YvYGQrbu/jx/5kvnDvc6ZdiUTtTDpnY0BqX7R3VZ3cWxVcvma+d16hLI+7NS1heMyqh
2EU14adoyuUZ9mLOexdxedVNs/hBaYmfllrHLVak1A2uk3oYspeULMfM/a6JLg2OlP+0dJ4ZdO4V
DYKPnfDMM6ZWqoKyYbzDS/LCzcKA/Kmnp9xvWQAtdf0z+KF319sVR65ooyvsJxlA4Gq457wpKfEM
fdOswaxV7CIy3L/anWEt+DOVN7WulxNVExNZoCGaH2JwkeDicz4tV27f4RBkTHkcY9V4rNKW6tza
ESFHCIjjuXKaKr5axITuH9N3CIVFuNl4JCAGVodywfbHsqJhXs1dncCgqOxUXw+mjuOrkaLDcDtP
wu0f5rlof0QvmpzFM9GnF6wI8Q8QGPOFXNWQnWH2rrY65PYLLgwzdh7HGCysoHCrOz8K6wt4xx9/
9YWEcGuwH3yU7uA8NRhVVl6fRA+umP39JOURecazrlqLTACVsVHwNfe5GI+YoWbqNpOeftkyC1Bo
M9OyoMUMtXMkp/E6ccRFd5ttnGtN/j7QevYzAKb9NrYKbytQveFWRUR4k2xK8UJX7QR82cXOnSZT
xNKxr/b8VBBdtI9lDmmODGuXt+xYx4LKHNiZ115pVcXHwsPxKCUUKSKpNaW3PWvahis3tUcpBNg2
mbOVg3STr9uhouAQCZTbKEYFX7D42UsSuFeMDum1qItvIEkI2XVXpEiszcCRkspzpHS6Uoi4K7vk
+6Y1KSCpsDgZTeam+SQTn6xUPni/aVlFr4Ixo4QPqwrvI2vpu8mpY1qHA7EEp7HBFY3WgdxFuolr
OpZtuehso4F3nVB+HrF+5AZEB2WZ/gwJl2DMe9+XOTJsrggAzku270gtfPeVG8g1BIryDVTYMKws
1ycexbaMfr1QMHczzcEVW5eyNDTHAWdtrxRF8KAOlo7dWpmyJWJHe7GzPkY0AODfdES3F1LjTb5o
l0KM770gaI6Zh+c9nrBXrEfufXSRNEnkHWwID59+lQ3Z62A3Wb7OTUYWuwZCxG7esabpaIeaFcM0
MBuS37Vz+mLdCJpJG4/Zm5pyQ9rfSXWza7xwNNfdnFoxTYZTx/Iucr1sJ4qAKGZmTc6dgr0QMtb3
wbvHBGkZeGGhleyTahCv2AA669YXKut3tOllw86AJvExoytEtSKYWNlNsyFzJmGlFDg4aiCBqGvA
80BVk2u/SUYYwWunkzaR25h/6jGLpoLaqzBxplfN0xWt7BBtc0cZK0SofMrsdo3ZHm4xHI7moLNc
P9mSbVzE+N2dC9XM5KGJfco/08gulxZG5lDPb/HSzVydX8gGk/sTjSwgSeqYwEaS9C3Ruc6yNylL
BcWDtNQMmZHFtrkenGTcVEv5y7W0W1eBN7HNkW2hjjyZhsBxjueOtYR46Kn/vq1r3/8JLEMzGih9
nFMklfsvcqHEdaoMS02SUTxNLjpG0oyNi91WOM/o+AurE/qVdmUhMDLaEKTXWdSG6xAiab5eQLO7
m4QqXzAb2ZIRuZ51SFhVUt+15lusNk7eJha/iGFyVZqiZqlY99P7ONYRpGy/fm3QLoBU+NN8O0xu
cVX3Xmy4Erdmy3sotTYGENQBQ9x0M8Yd9VJWVCJsySzG3xWYB7AR81pktfsIZTIT60n7kjJy/GnH
pAPaifucEJHTzflJa5IHvtV3T07teq+VDqad03sI9XUcHId8It9ecURWW2PZ9pdJx3LtWa6RbEiR
zbaA+Ya9PQ9YzxukjNpSjNdFUw3cf+oWIHEzfNqeMR/55Ahs1E5xDIZR7ux+TB45LfNo32EieWqI
W311Ohc/2KCnp6mvJgLr9RlaR89lGUCa2mZjc5bDZbFPnr696rqCN2/khOnBqTpvU6nR3491LfO1
j6bprYEJ5dkOj8TSY7QO3lOKxrrNoGp1KgKukEQzBrh8jVjDybYPUmu47XR5pfjtbHc62O7gbcuR
7uzSLZtDBQ9u27PkvvVVh027w5MtdzM8dl6uqfOnbZgchkR6UGXq1Gmv58oD8qL6pXnuyqlEfjbs
D2GntHRsiGE8FUWW0qQSRoJLrQ2vFwapeBiHGcm1Y5fHYO4WKxZF3xzN/fWCd+pdjqyuSHpyMW5N
kZ4qaDJ8LTMvKt9jCVBhIm24eI/xHV+L/qim2H4pHEV5yjA1y6PLKuCY+3OricExrofyTxC5GDHD
RW6npMo1NaVD/W4TS9gYX1t72Wt/3xAb3oCe+sFosdxn8RLdcnNBKIzr6m12mFK72MoBhTQ4jmqs
odsibnBxcPv2No6dBw9269gZi2n8Tc7AnuZckxEE1neJoTg1D1gqhoUUVYOqsJl6rvHMXUp/BaAa
P1TUjg+mjAPv6Gd18UZndZrezUKXfBilqL+ANOrvxLuEZ5WhCPtK4UyUFwQAbjqcxOE5Jo6GxdIv
w6s2AsBBPVrDf8+Zb5HbTYHtYLMIw3HTN3mN0a3jF4tE+w9Cug0pW8Wbmb9c5wXfdq23WoMiWfO7
q03LxQzWkW/y/bxM+peEIziKYuR/2142/PqThkU++e31RMXEBdTTPhRNgxVKhXMHtwMd4bmsu3qf
dZVijUkUzqYDjg7TkD8IHbJ8lU5J5VQcKA6bmR8OOximjAwDFL94YbDEhx5rAt2Cs7d8djEgoy0h
ivmTrWLyrZVhj6HUWBP5jwROddfAor13iJyBlZYdNav89ppChhZRoApVfdeB3nrkYpptDCY9ZJWc
HfOGFP3Cw2olgNlj2XxQYVjxefPqaYergKVxUowAkPyuvVBYgxTIUl9/FrPvn0SSJJ8enR9bmCcD
QEtCP6e06RyfjYRfHEO+pG3KO/Oy67KbVx2l3fdCNg8ZoQn9W1ARWGTioQkesZCZ616h4TfxwNfW
9/D4mygf8/XU5upYd0vqbV2RNve89edN34ewa7nsNC2QyiR9ptPm8t4hByCUC+whqGLsTn3CpWkz
NxIujGfm7iPKJUdNZMXIHlUH6a4dzPCpdUNOL5OqYflRFHde7vaCLXvFbiCbhW2D/wrNje6dgcE6
spfndNHxE3SEAncJf9gt5Ckbwc+wBDehEW9UCY7ZuTBDfN+JCzuBF0z0o7lbkloy9pzsFCfzfQ2Y
+ypj9oSiVuno4DWepdcFxvR5lfIzO2A3h32N/RmWiNOHD5CYIBRF9eSeA06dTRukA8w5nZ+92Y3u
pznl3pb5nXooXe2POztefMWVxLJRTzX2HHyWaXAeA9pcoDMGXPLoE7zzva74Jp/mPXYIJZxEXpMS
frAgXfojLEreeJSHlApy2RzJP+EMHpOrkI9QGTfOTtlW8GgPU/DRLDLM13Hm5esAzx4WwlnHVxnQ
3PciHJf7yu6tryaq5NmGL5OfXGSKUz3O4S86Yd5eU0J+cTcrv/rxhNEvgB7mQ7mU4ylsfTzYxIxt
ucYkLetdkPWs1vOat9ABG0lwoD7beg5SVLxtqVq1t7WvT1XWxxivc5sQnd+iDMFMo1XLBVNhF8i3
GNfH+ZUMqd6yAWNbFc4hpddZlWOVcqgQ0Hhdi42V5v2WoFl+Mqmyj5BA3oytL+2nTb5ZUJr5Qtzu
I2ng63E0tVcm86IjVSq8eUQq2M+Hektgh01SPgN/I3zFfczKXtzCiVaip4ibp3BcuSr+bVh0q8Dr
jwbg9LaLdLkTVmb20ZQ1+ySfkz+J1ao74Ta8/3BkYH4xTIeWFvum0hmwFFxnG5CC7Nriprk3FzWy
k63aObNVH6hKKE5dGg7fiK7tQ2hhMl0ndDFwdwmbJ8HZtwsiIm5TGacfXGfw68fZY17zalYDXygW
NlrTO6ws4dgkJzYm+b6Fdw0rclDXg5tyUlsQR6YcjTkJ9NFpIpQ2TuJiO9aT/im62p62cioJKMgs
+gCwSN153QX6auIBgf8+96e+w6AkmoJqPVWMn0vU/SwtlFmcl8nlOGUaa7M6OQZz31/NlrsAkk3T
HQZSptp89uybOCd0nYV/A/phCejT0d3liQkeNL1GEbkE058CtinXdpu1x5nqECg+fm/f+YsPKcKS
wbXXJE889g+BSE+jGV68ZRL3IiwgP/rlskZmRIEnr7rir/NiRkhZNIIkxOZuaRic+BzBmXsme4U9
E6+ZPtlnxHX3HNjafOZtYe6DxWXRZgda3sxLEB4ClyBNw0bL29tG4bqzpVkgmtt3Rav6u6ISaARK
HwaHOuyiHmrcaaU3fHDrTNhO+P6bmpvxq13UTZWV3UmVsoK3aROgyul9+3LjxP5KuW4Q2SSnP1MW
d8NFbzmNTaxuJV265yrj3+1FIJlSRuVdV6bshUgR+sdqqdzbJginJ9Bh+H1UoSkcKS393iWYq7Xj
jtu6GmD7zR4lAVDDd2UcGrbdyXROUmIidqRtYngRpxvp251nOcFrVHeX9jwgqhev27hQarNEKMIm
7MhCdCXOQ7x7287qwPI3xVBr0D6h5giHgA4MDWEUABdbSHZ0ePwyaxh/Q/S/8ClMzcUo5tY1k4kG
cQ4yP//pXQJ46wI050Euef1h0h55ApMyZVbAvtr0vpKt/UKioeH6XVT3eN/dDxff1p2LMQx6k9U4
q0KUYP9a/h6OA9PNLqDbBWcAvKqXgoQoWYaodfNz26q6PtDlEG3bNNDtNiq75W3M8PuEKEBHNvYX
EyIEnXunoNr+cBFIPtmAONuxQKFeCTYf49qjVgwFm83o2SEMtdLTKNacL+2ZYK3+dGFarSzlVAfX
z/FtNtnJU0rj8B2QOO0JnYW5rnQ2QdL4T10464OqF8+9Sc2MlkzEEDI0xIMF2x9MZmvnGUuC2J2q
OnphTeba+5ZT04PVX16ujISrppZdck/HTaFjXGSJsln4S9wov61thttoEcmrbRC6Vxk9tgP/WCjf
coApVyg49F5HssPc4ramvLJC6VVPZLSWc62dMbiuDBIwuyWD+28h5IPn2kJ3RpXYay98jyv8U9uO
8W3vIc4BhlpyGKSe4y83DJ3sjWtOrN005T6lvzTDMJpZT22EmZ74FfHBmMxMNjTjBx+5vL/llR+I
UzdU8o6eQAGFd4heUWaQfzmPuEkTWa2Lsr3147b7Fn0KkTCPU4+oyuBgjMvKH2iJFhxeWuFAnWV9
0ZNo8wzaTlwB1MR/jz/Ea91er4MWJXrTE527kQVhNcbCIUWPKDtM2pFptdjwXh+mFcXCE2V5qgEh
D2rLrwgiGj7uCtAAoC+b+qqDYhKTuyqccYiNIWipvvA19Ma+Hd7o6rhclVWD6z0HHv1UIAf66wTF
8q5mfOH/rXpe7my+0mDFOV0EV51fic/UUnR6DexV1sVExyjxnwhdwIemJkh7Xk1xG3wVpdO+QkGK
3iBt4NVI+8y6b6JLVkcJEbF29tS8o4ePK2wOy/PITRxENXauck15E3tYWiztbt1KzQbez6L0Q3Rz
u6+DIbjFLYfVxq2rCA9GOGB1ziP/O0D/IEDoloTRREkHec6d500qC8icE4AYl13g3Vc+C5ayop+M
J9grH2vgcocp8boeOhezx9qNUww3Dg0Y1450UneluooPSQURiSxH1fTdPnErixAA9OGKkEjcJ8N2
IIa1L8aQtgla4s37GDBg8Z1E6gVnGhzWYDAx33UYsAtzC71QjBFD8cMExC2ZKlHnKQojDKJCRwH3
hCL1ToEaYSWl/ig/XUWpBMEtYzk76Fm2RaU0vsOrOByWV1kPF/BaRb4B3LkJfWeFCSV9y7Hu7wFN
BFcIImG+qyOv3qPWlj9sct2bOp7hTmOAA/xZqZAaoHxI9UsX+/K1m2yKwog44umblghTcmGFeIew
++E2m3hUYGAlC+aPPmJjP4xp/FTlPdM8uyGKLANHfiXzhL1gcKnHJLMSQRJObYd1GZWblYObkSDo
Po3i0TtN1TgsG5q9wu/eH/rnMnAzhrEcAPKqcJH0VrkOoVlmAdojswApiwJLHRB9donppwkhrxq3
RyvNYxndSpKU8LZ4f/LClikOqIr3/8LulY4akhN6CS98OASbgC2lDZFgZDtclQZ/BivU94Cl5mYJ
u+GdT1LvXsMNGfYphK7hurXd0ee+HHrxxvJU+pM4ucx2JMxIWyTElzusZh3vFVMbzHTSG8XVEjeL
i29AdzD2OSYFeLB42ougaLeWe6H/ja1N+qC2MFozRVosS3tD9RRsQdIibpYvD26XFO0+4mbUMzLF
atPRSDxsx1wkN5OxkmlNem7ZdraksHMqKuSvwo41kGjeneMqqugLayZ7uJ4nHyql1XHK0AxFzdA6
723EJMW2MMVyEke3Cvc2KjMnGyNYMNebRMqG4ZximwBEWRpwPZ1SxKK54QtOLaOSG8qw/GRXVg5d
Alb02AMLQnmU2HsEnGADAVDqgo9x2ZZ0A7Q93GNem0R1dGc9pIwa0YubL2BcAshX9KTojsPFof6L
sV7kv0LU80fJhYz0Rw4HERVX1PyMqVfKpjB/LCDIHcDWZuMuK0z4AteiPS3zmL7IKuMmXUetvC+7
8q0lvrdt8jAsjpJDZJsMrl7h4R+TzWCS+pOFjvXT5O38JMt4sDZZY7D9hLx251PJUYiFLioryOFE
2w/ddNGyoVd+c5nrv2wZVc8LxkzyvO2kSIpY2ZXlsGxa6+byHelk8DATBS4v1VL8caxu2qFaeDuD
oHBC0hFraITDvbJnd9hYVePhyQ6n5eDx4OLYmtrHZIHXyhLdIW/qpu4ZsALvbL1E+qmIcAKcsm5g
VY2+ku6WKRzhwAIrR5ZpFambRAwwTyIeX4ynDSwe6gazSd4iNhQzVFxnXK5bDz/+QRnqxa9QM0k1
5YXrHPWcnbOOlgiUxPnTJkVDzrbZtDaGTijb5QS+AXc/PGT3jTuZoSCQjGFwLhhNMLBhnFrlfZA+
9eQdnriL4je0Y2ACYCV8fPZN0WHPCu3mN3a5ObN5QQdYR8qu/riKGN468mS5qQOD2N8NebdeXMxz
guKHkhtlH1T7/xIE2X+70nrHdi5Irf/HiramV6X/F0rZf/y2v69nY/FXCFKTKUDgcQRVRmXt39ez
sfsXW9YQ5Jgv3MtG95/2s/5fATEj9F7huNC7fGrC/30/6/0VeQDO+BPZpcaeF/xn9rNu9L81T0d2
4POvCV3QZ77tsEj+1/UsAggpZLuIKTLMqwPiDNtB3AxCLzSpAMGEAIE5qMCtvBc0E3PyLOa5Utyu
WVNdErndjdUhl6VJZU6AJ8dHNQpgHhB7C1ZhOOdEfnBNY0PyJWO1yvrkRbhRRc8CweEeOpYYCLuU
hXq0amz3XPCzLxyadIYgXazdsbwHfhBFGJeAU61UAB4KEpYA+UPqf9OCwHni9gDJKNHoIRO+2P5C
Rtn43WyvK4rvQHAmcs8IGR6sOhb+gRSgOZdDlb3R6vWH3HIdbrDKcu0hcvOBiPw1xa59yIW4lTWv
+CLjHjVFRG+UJ0Dhi/nXtiA0iqHubo0/UdxoJcSjGf5u4sI/sBKgBfMiifW5b4hZwsIFYk3gNcvf
RiPhLOqWo9iqNd+QmsBewwG3yTC8yPAixtkQn3u3cjiKiDVxuaraR3uSP5OvBLm5JFl7sLEuOyCg
ErwZPiqonPxRST3uIZ0QdYpFeh5Zb4Dtsc7jEJYPYwmEESU2oSAITP2DPxHpIC83ZRSm1g5ka0g4
/JnuZANPo6nPWxV4betDrqk+SlzD/ZINEKjPC2RlsLiYHMoWftmxX8ryxHCi5S5Z3IKkJs2FyQnw
M9aWjFmIgVkNrxqjbH9UXaCyPYD48apDKnVX6OkdJCR/BjHrg3ZM1pLSF/g1lbC/AxLHL9yZ4bJE
FK7xmgu7bl6PtLrF25kE+L2GbB6sMD4RgQLAy9g7TUtsr+AM529aBf3NgibY0ph5aU5OHRzqGQE6
Z6MnPDn9RUTPKankBlqPd77wlPMwF5otXsxtGcFAhGW4nQQ9kJjEnGl6xF6ZZAd0vaG74gnzkD8i
ppyNguBxa1lT/du0eXUKsWamW821ot2PQaf4OweKf6UpHI9xNPekZ4MpflBjeowKenBcfyJGDThP
o5VtxgjngheG6VZ4t5Et3koV3gOJsYHiAwZTeX/INNsGJJibsl2w9HrNI573r6QV54E87OyI+TaP
vYNfFTfVNHTXMk02XtHgPrgJKnRqMtnFpuXsoT+MvzJ38tk2z9UxxaV8jyhk/eFxxt1KZHS07wmB
WGBaogeKQImSTWZFUNvexRUOWL7VX295qKCJK0b2jeO0b5Xlygdl28eW4DArDXyw5DsYVJQEc1dY
P4IwyDlmElzhRL6PyCarmdtJR0CRhyFKD6XP+pT0x1Pljdm+KDinp9JLD6xkcWcGkLjiGT2PYg06
SReUkAIr8KcQ6PlduDd1k4EY4K42tizJ6CusWVqBMRDIYUy1XkObcN3c2LkMPuI5PbtlRXoqcof9
xNzOR0bukC3gynjIJ5R/ht+LWNS2d+atExl17eJsow0aqE9dAlT0wzOvvptU+unK62jAK/Jopyua
1WWJJjm7wb6L+33VRpREBPZPGaYQfwMQygW09GwCCvdv7J3JctxIlq5fpazXjWzAMbm33XsXMSEi
GByToihtYKIkYp5nPH1/iKxbRVIysqvXvcg0VSlJTO7Hz/APs4WxQSPvtbk3fg6tTJ66OXh+ASC6
+Uv68W94Zdwwp2mb//tvwlnM1v8pCSlpF8GQBo8DityVruu+MWPPy7HX+gg6jRag5xhmdEOZU+dw
K8bSvg4Lh12izZ1dbu0qaS7BMERo4i5t97HvnX6VgcAjTrYOu84pfHUTi7JT22BEFYB1GUkTMD7Q
2lXUJ9NDUecGmiU++9moB3Tz3XIRN0uzuXYYNnQ1GPiyRpbGACzghYGj1YfasAkWOUSLfor7fmef
o4l2jizw9IkyzRJwRjof2qFrJ1fs2Zcwe+saIeJOt7SdDJP4ro01bCfSSncP4DYJU4MTfAekWKxE
G+ww0OggcTQ7ZoQmyGXQFWbcI7MQDhe2nl+IOKExRLqP7wEOGolA7zvLAoxfGA6v+s68mzOjRevS
aU5O7ttehczlRvWtvTYKMPKQ4oCB5uJodm7704Dv9ol5QrHF5itlrVJI516ToAOG9RODnDWSgAi4
YbobobkRQ2NVgLqKtVUacfJnhPTtcEHTHrk8sLKMLUaxHXEEgsmsZRulgvwhrBSUT9/BfFCnWinq
+ILq2LrpLAghMCWD/AtBoVmnlTvv7GIoNm4xg+3P8Pi67stO/ghauwPzHt/WCNocHUAZiEFnsXGp
W0ZyBRLFDahxW6YKQKDm6ITekXMRjpp7zQgT/EgfWjSxe80zgGYymF/08tEg+O4jRgzjIaq6rxPD
ZeyWenHt251+G/UOAi+G8WTB3ILH1SDxWNi0q0VW36SwPwC9Cy/NignxLmQ4B4oOt9P6C8ZjcuOM
NWp1YQP3VWyims5L1U6nsrUf0bYe0c6IP6cBx7+VoIBUBGraanQV6KMZ95lCHDLpxj1wqZhzrsTb
1vxBTT7snEr7Xpkx+nA5TbMybI+oqm9CA8oPjBbUVj77gYlHNfJjPQZShoP4hbqCsw5buEOBAxWY
H1k4GldJZf4srEBdJh0YKMPV650cNbkvjPabLZvmiJ9Xv24wof2BeOpw7B3Z3GaFmA5NYy+U8Eiu
skWlBGjNd5JFcOG2+aO3sL3USPPXYJEkujdRdGHF2hdQq4GXTbpxRYv4MkZPem0mndjmQJE3pmsU
O3NBzSKBlq96u55prnXdBkFxvEOIVtYQb1tZbsgSkIhu2su5NOrNhCuS51pls85GCqzAHy9Tw4gO
IhP5CaFm+DaQNK/osxi3gDeaG2jWWzT5IyTNwToFg077yAdaf3RAhgwrDO0tEKhMncCVlc8J2mcw
KEGrM/4uADFgk2hmNMbFooSNbBi09AEp8nXaienLCG8esOs4ic/u1LXlqq8z/RFMD32a1tIL4Axx
/Bz6EeDtbBFdjGnhgOYSY1N62tKk2xZVnV34yxldL6d1cj64y/MhjjwsB7rppgFV4fmg78+H/nxO
AKCJkwyM58TAOicJzpIvgJVuV/9bbZ3Vne+nEnXnbz8ywkbUtHX0vX1TNi31zrvV1j2t3q7+9vsf
+3u1Jf4wTYHaub4gVy0gmf+otow/DFtXAtU4/t41JCff/0fDWn/YtoOctMOPSAfL4H9WW9RoQgGg
tU0pdEzj/iU0rOWAxX1x/LpUW6ZjmfxCWhtUb/ry99+/MREMOK2Nf4d1zMTOMro9wpvI2idg6rRB
7jNMCMFnjY/SgZ/Vj+TkNtoU3owqyyjEZ+qfx8xN9Tsfrhon8/CjJZtkUJB123Z06JAgnIgeWpX/
CTCouUBhgo4gCkZoF2F9MkN0cEot2cA3DPd5o8lVEJRXbpnQ0mUgv50K+7FQZbVzuukOitXPrERi
c8pR4QtsRBNVbEGJJ2sLzCt6XwJ/MK36GhaEauqvcd9OE6hVe3FbLYL+Kz30vTYXpzqNsc5oh8zl
mAluAs1Xm4i20lYH0AdZE027UrrmBVyHGTQp6jWMKd1xVbqA5xdQ5YOvgntsaL6RdDwmRJN01aOd
f6khqr+N0a6Fa0VDOcTeaxULq7vLJlrPmHKdSscYDyKBKDz7U7GBBwfpr4KdpThBJtqbsW10z0an
rpoJhii4L/cW+xbgjGW4DRkweBOjdUBdFaJ2iNOsl97ek1kF2t7BJu8YNmS+NMkFgnXKPcAmK2kt
w8ZqnelrPapwbWYzPfsBuIpQKX/KzfKpc5R26Tu9flAYxdPKRbRyTm3rck7qjgK5+BmDbPOwcnAB
IkP7HwI0v7rYwFZNLyR4B7AsSQjwb1BVfawIy3eymX+UJZZduKRUOId3yaNZTI+WhJE6oDK8alQM
j7HRUcFPum0JSmkz0zdeJ336HOUy2btn3QckF52e/3xu0yncoT3Y0uLXj4XrsACYSu/1sg4vIje9
jxzn3mVacZQ6BHzAEBAj/brZoBOUAN9IAmbOQXo34I+5NrD3ws1KmdshwreiLa1P6D+jn4/9xiXu
H59Zr+rnqAMrWmrqq1nAM2c0n237srn3NYQxphEv45GqeG4e4tlKNr3eo6uUm4g1aMjH4rMBgK2B
vAZIkNkZkqCx2eyyrmgf9GBRG3HkXT8BGx/jG5CurFn2+5p0hcK9z0y1VDjKwxk88C+ZX1bk6XNr
HWCjYGUZ4FB4YzkovxhA1Mgyk/RaNSLdcrYPhywy0HFkDV4HbdMffTDOe3A8E/DnkHCmGm9uy8sO
SUh0KdPavLDzIr5rYkt6QNRBrNvNgxE045+ZyoLjgG3lHggzDEPL+WTAhPGSqM8e0piqmk/Vbwd7
wnshiVvK0U7zv9QFQjl+IqoTA47gOE8DZbTP7MVcGfTrN51f/yzoMW/w4MIVDAuVKwddmluObLUp
RyvZjkNnrimUj44rzWu9xuwTWQ2UA9QQ3Q4GIOuJouUaPDLARmaC39sJDaUWry5ncIu91JduNpTm
Wz+hud1pQMUmlA12ra5QA2wwSENbBC2FdpBgjUpJMyi083SbpagRTZruoMWtdZ+nRjmfsDlzmQxO
/mfUSf21prvxzu51mjegWQ6xW00XFVDTTyoqqxPwKYfZpD0LjGsN7Yrx4exlsH4+O7n4zGSx3RWg
eBC6zZE6H2/Kthc/+9Lo7yIE8DZa1DQ0V3vHhW5ZzEcZ4vWKKusTjPLhZ8+48drFr+aoJgc5mSWd
sXxIcxpA3x1OzJ+lxZQTUDn5RCYQEVi1AUKUQAJpOuFXuwgNXIzg89m5kRlTDyQ+aLnQvViG4TfD
7Jcn32jj6xB+BtY93alzot7LrLb6nOvgtkWR1VdtNXXrcKr1TQdpcJs1+Hv28Rx/6hW3kQ7TfOeH
8+1o040SkioOFZLoUMbdLecQ1RFE1J2t28ETogvz3ki1+2CsFu29hTIu8vaabjQWSRJaOIbZ5IMi
Oo1UT3dVYBW38HwBxDHnoqSjPW1jF7NiUuuTFxqUVpqtEMKytQ5mLAgIP5KZpzPPPY1AX1daVoH6
zGhZ9K5JFI7snwb6FhvlpMbaUuqWHPZ7hNXz2o8HGjuKxBTDHHOb9Jh9m10zb8/CrJmPPWCR+w+6
hUvP+R4wWoOGFw0I67dKfJbo5K9TtBu3gT+TbichijHMpkCCJWYwPGkB80BwxkN9L0r5bDfx0hEh
+hr0/0NjK4W87mn1U+EmJlNTGQ53YgApjh88/CgtvnNHo7x0dSd+KJV0thXNGoAX4UOWoz6rIUwN
QKPGHEtTX7ChmneVKn8UlKcrvCDu+wrBgnichg2woKsZC10Un6c1p138iTxJHDpNU+t6+dIAzPyd
2TNolRmhp1X5j1zMT51bfO1dVDVW2myGuP24ISLNFC42bvPH0Q9uorCqL6UOszowxS1FibmegK1j
MN2LjeyWITUT7ZUVuwzC+6S+D0zQtzP9WM8B+rtHV/mbrhGF0PTf+MLfOq39NAEPHyz7B5BYZuEo
C60j0/7xv+nufyfdpY1rGBZ+Hf/x//7P9/E/g5/F74xQvmXf8r99y3/87Sr6Xjx9q/92aFL+Z/My
A/7Hb/p7Amz+oZgN0OUx6fAYuno5bhBL+ulaSjiufeaJ/T0BNsw/+H8WzpdlWa4O/+EfCTBuKjCW
SYxdw8YTg9/7r4wbjDdkMOnoFLrcGQk6jEp5zo9f5L9NQye0iMbaQ0fQJAfLnvJSJltanRBToTjs
CkgMrROV61klT4gTohxfYGdY9UzScbOAZJM3Gx/Q0Bpx+IceA931i5f8mxbZW/uW5RapHYCdojyx
OMK8SdHhWzEnSQK4mBgLseNwfg3CCiPOUJ36qvoGl+zKaTo8igQBhu7JXxXgX1/5v38DVAmCV8V4
aHmHL94RMMdSDlZaez4F98qcx35dGvjam5FPZlpifMIEYNWp9tgx4lyRHDYf3AKf+1WVsrwChxaz
Ydm6g53ZMjN6cQcNUot1mqWVRxObTpTh3nchIOQqP73/rq23w6e/LuRwGQshGLEM215eCKWyhtKh
qLy86OHJBK3a4XnxCA4eL+QJxRJ0CIs1PTZz1Q/EexfFsZOGDISdI3SGkoDG7NX0vzUxEbkehX5n
JjRVln3hKXusDx3SAl6dkedoJXiUJLFgEzt4GtZd324ZuzMJ7sQNgHf60z4vcqqcL40Pb6Zu5AZ1
YP8Y5JRLmihpz9lzeDn5n0A2slqzGeaGtHfWOIxX9CifDXMm/e3Tp1wDxp/W/tUs1c8+zO6gJX1+
/829buO6LFK2xFKPGtQkgISWL/jiC7lzTrERVaVHzQVgb5y+QBXfSAvUFCkH/fwwoNCBHLd7/7ri
bQHr6BbeSuSCrinOYeT1hbNSuWWjZOzJBks3ALfxAeJYuxeks+jzNM0mcud+jX0hpoWkzru8wZ7c
lTkfNKVrmYaYmcpGcZKzp0wDXUblu3JVVMPkpYyMmF0JKyEzzMX2g3tnaPpmWVOQS1dJVjWDV2ye
Xr00vVMW+Okw9RQ4x02lAcwPQoQlzV7dITtSbBO3Tb3Wb7OrErn+3jQOQ4KkXarwtsicw18ByMJE
zT45rkNXtQHFgAV6s4HMgOl8Cph7NOfv79/3r9/awp1KMKclINmW4tR4+a1bEWlQhrjtQatJlCyC
gtQZ3pxfdO2Uiq5eS4FqpeKj/fmbFyaW2TRDYkPHbuv1lVEE8YcOjqjn99gV9J2SK0WdsXn/+TiR
fvksJq4jkkGWMgk4r6+S48FrgsJJvXBycw+oUnKs/fDp/YtIa/k1/5x8LFuG+l25gqG+YSkp3nx9
0mkX4kKfwudJn3Fuxo7OaRTKUrkJQspikysN61S/b1FoNebkmNnpsxGgQlJCD8J+L+TcQXPasPBo
RVxe24ZzgCN7wyJP4kGsax2DH9Loe83Rpp2ONCdMk/oQDR1YtLGLV72x9G7NoQXCqAuUG2yAy8Q3
20DKLKJDARyH/6wJbeOkM5BcxR3ps/L5eatiAj7NcBvFzJ8AZEMWhfS8AjiLPUNHdzJUpbUTonkY
W4kwQjngtN3GT3Tqn+zYvM3QaD36iDasLDN+rkVX7PGOQOxJ5XttRBmtc3S1S4vomT6vXHUFMbfC
YBMYFgQ8abC+aWLRvS/TJ6dnDeL+8amay3nXp+o+ZHGstTbhvs3bPFLafgh7LIdE+2jk7PZhid4w
lJvP5YjVgEXhhCwZJl6JxcVS+kvfkFkgLAsYBOkQPTXgkTcmQ5V14NA9oWv0FYP6eE0uL+76gooh
jmYOYhSusQSInw1M1VZ90NISz7jfoG3vaoEdTMLpOZjpKRiGnskDgXvoymZLtxrNr3Fu11mtPbp6
2WwsH/oDfAwU0FEZXXdQRndsMWQ8sfs1LT6HvSg4aKhbARcDzZ1Z2clmVhgb6r5qsoxtWKPO6S/a
9MtQyUccbp2afBrMNe6cCMxzVnbXJBie7+ZPtd4wDmc2sKKmbLYKvTbUcgiWdRXTWKcRX1XpM7bC
YgUW8wJg1sWcJc+pi0nW2EwNiqU8aDNkgPBMXIBYgfhxyo3Q3Ss8RASMVc6AxKRhIhZoHwrN2Mou
R+YEqmudGFxq6pNnLdBYsXzZyQ2ebXgcsIcr+6FPACfkAfNfYWXNhirjGdg7iyAkWmM/IVGURngR
s5hVmHBSp3P2BKszve6UoeNNock/6ZLsQPg/OQhN7kOUpC4c372ni8czkp6eHJxitucPQ2Zwxay+
xQ2Cw+O8dqeBZaOjL7IAqVsIDNGTRKRxZQfmrYmBlIeY7pPUe8Y3rHCjZWucF249c99+Pu4gF+Vb
I3NARMj7UpHIhPjn/rUFMlaYYZi31F/IWfUkn5ZVzmjK8LG6aMk2NH5fkZXmSoasINPg8zc626Xs
4GoL2qinQddwyhtovNHDRDeqxRR62XTcLllMh6xTrHGmKcVzC7trPndqQMeTvsgaSVy2mhuWl4VS
1Tbq+XboMCfbuUIA3hm5p0zgnAdBmMqxPzGtC9Zx4se7sfUx6yOAaUsTF7wDP8NzsHSp25YPzFj+
FnGqx6JkX6Ed+1w53DX+6k/ncIEu0XM7kkfLnkiQxwEXwFVt1aacIKUDbbA2WgRNBl4ixQD5EEg4
fIiVy9SIetkWzMHgqGySiqhEoEq2zlw+oo1/Op9OSmcV6wFvwDYs/yic+BlvAv8GYuYuI0nCh2+2
tjWYI+a6KDRM6gfzc7JcwcrNSbpWTRN9Ao9PyNP4vT2xlgERL2S0vdpNnxDsO4ezKedFhKlzdQ5K
HW4La4Dwj/HIvUXgohHrn/eYld9S7+QeA+8RTd34adKiGAAd8jA4iv69mgiXhMWJTASaOXYgYF2d
nxA89/OyJYCw3i5HAaIZt23JjZ2/QSnUVZRpdKlzZuPJcJLM/vH5WpYN41B8mlD8L4z6EYqmcbLr
+Dkpg3SLxkWyqXUW4znSSYtgAqL7vphsIqoza1uiyXDdgAaHdcz+jdmZ20Gb+SlIg3tgUv6xXb4O
SFfIhzTZZ3T6kGRjH2K6Nh7PkTgal0TMCVKYRZIzwyLNmmZ57+JjMiMgCkKknuW4ayB9kMXwATpg
ojucmmb0zbPoqlBI5ku75PhpiAisYX79cq6YOMjAbSJ5Thz71qj9LWTKyTP9ZY468SKXFTaiIboK
S9J0Ig1Idj7VULDo0CAs1yn2tausJ/rInk9jKhKK5es2cQ3pgR3uhkR9qqDcqwJ+YYXdwe4cf9Ml
OvoVIqkAxcyVBmNrX8Uo2SxnXI0W7yoIWdV2xwZyUfJyHO5awIpZx2gXbs7pcBeh0dgh9Hap+en0
CWHqYu9i3rcyQ5IrfUwY6bJW8jZ7ohGEX/x47+vxxIGBGxw0dX2znDa+Ii4mLVvAr9vkcnQdmuea
g4RSnwpUJaHz2YIODoKp1Q42X8C3rSOM03mrtrHk57a7A4kSAqEqOPCmtroiSlYXkRW2B9wGoY/Y
KJ+NZkhP1ZjVLukGuS0K/Idipp1oLA7TgDCore9r8D9PoTtCKzUNK9r1RtmvWhk1nnKB9UZj9FxU
xSNyyO1upLL6rqlk/tNE9+FCx+tqE5Ttn3FeBR51TrTBPtp4ZODPHCCbcjJiE3gt8gIb00QLGUjQ
joYrJ20Bo3yVlH1xqO0Qc+4uw70cKcu1NSwE/6kqDnIp4JKQPLma6yvTCK0dnADG+Cp4Aj+Gu4IL
/BfQvwnoDH2YZNDnixk/H2RZCPZLmVcwomL2HvEv2TQ7GyGovaKzeBXZjCvGhe8+FCl0QSSG1w04
+NWYIhvSlwDxMeng5J14Y72of8YzCVvb20hFVzmzDL9st8K1Dq2qHlOs1Wino8Pemw66AibwlUSa
jccMPF5juuFzecC9MI0RpjY6fveivRAZRofvmI0DaP8V5cvhZ9LW4T6r6JAOIw1/CqjvJVrycTB9
h/JAFUkDdBVq6KUVEk6BVqHyzGqA1EQjb4WQTr/yUS/FZllEQMIic6/FIZabDSocfWBtSJ5vNOTY
NRDuHEfdjuFEtJUB3zQIL7WhvogK4q/VDwwPhmPtpHIlcYknlGs/S4fF56KpsBVIYMAa0L7ZLVE3
ruBltbN1GySAgeJaP9WameBkwTbQ467Z1Ej47NH/w5Z5RPpGLpUPwtUxAxnCUtRFz8ZYKFRhyZ8M
n0jDqGH6ZLZWtXzheT2knEBW7vjPA3SwNajn9CEHwXlhzfojglkN76V5RNqGlCqpagj/apns5N0W
ll/rJQVJcIjMIMp3ZEw6NRxa0egwAMNnf1tacjJ1zjmcu9cAXNutBqDG60qa5ueKHiYS4cBkm0r8
ozhkjFua2JAjc3y8a5CE2LOyRCmYPWsYnhD3ll6S97ehZMX4TBXAacJXnzkKlvvspQ66leDUOAZl
Iaf1SpFmd0b4lNjFow7oAvky/bZh2oQ4AhxfICrjkd43YtC6223Ao91AKjqVk/GVArLa6T1M9EYX
9adOS77EnGlB63qVmBSqrQQ1McQJOrTcjSSrYpzXkl0v4XQGhgO6hBOvly3CgLa8N6PkqURakgQD
33d3BBRZoWNYk9dohoLFEznUjTJCu2hAL3nM/lRiQLUMVd8WCBwqk7VzBRgkvNGZaH6JdN59TpqM
TJx7SC1WGO6N2h6Tl4IEi3eapQPv2XIl5M28vgi0aLjPUCkBKcRyE0vzKgomBpFJuJ4kcc1vyHOS
KhwBS5r4ezhqCdIZiVPf4zhjN+3Mw5JjirmH4xQB50N7ep8GhucjwnYwVPyca+Ez87bHuuYcAvV/
FSDvuTmf6CgSozJEulMtazVgmVz51qIfTE5AcS22sYmTk8YN0w3nzMynImW0SNUyjzSIXMdONl1Q
PzIvoV4YuuEatguQMVvnY6Py5LUwgY4TnclFq2m8TpyWaUkH+z7Tja0W6IiHu4iRpFT0UDJZk3Vb
5KcIcOYaGQYk1aUyTgEUbZQ1WMOQn+evGQZrP+poVGu6Fj0dEHR91SL42GmsJjVBi0qHht9SZ8+I
U+hPmd/np5RT77z6qTeRdYqjI8XqM00Inip17iQaDI4St0ifUOr5nFxxqf1cGlW2NVf7LlD9pY1m
G5pyyxkYsD67QoBIIociKATlbc00i8OMOV5oaIxU9PBqighjNCOTbeYKmFB2e9SQriDilhfoGM9b
C+wUIkKSfNUiwYo0cZ3WPfYrFia1WjgYGxXSlWK1c8Th0bfuc+v2fPai5Nmwkvz79wt/+3ftBUdC
+zWE6+j6GRH5olXWx7D9AjzdPBjRFOKIPq6QCXisSpqCSPrMu1kzEp6Cr9zOKerWIusINeWDXX2W
VXmvy8hgD1PoLmlG5+ra1nHde8BLN7oYZ+b8rrYXad1twkFHZnrobxyYJszjWhLgNvh0bmSeaySU
rH5EbRY+O2PbYyXq3BrQxzaD1honAQLp6JRjxvjMIKHrl6TUpQaCxhlRLyWC+tom99JwUz0XYfBp
5R24vRid9Iu8qdTaCpYsMMTEGl2jdGMH0j8khjH+6y1yJgImgwKXVqAOB+F1xyZOI9Bm7BTo1ZQc
0h38Y9PRkXAESVeW2A/R0krl+Tj/O7Yb6rnqgxb1b5piUjHMcCxYQ8s04fUtmFJWeAYmnRe7TLeg
44Z71GY4hRy8TxPk63FzANPep5H5QbvK+E0bkfJ9QReZBAx6Sa8vzc42OlToOk9WKAHYBHV03DRj
GSvDCZjL8usy799ijIMFJF6SRZ/1QJ2FN5mj8fj+6l46cG+bWo7uGq65gHmhhby+l050MPKLIfGs
JQgsDQPYz6TQzdhuaxsxBWQdP3jzy+O9uST9URutMJf2M4n360uaeQtBgKYUaFVTbtMKKasq4E9G
WtyPTd2vsONh1om90x4N92z//gP/ZjczJ+AGFCyYZZT1+uoZL9Vsc631KkkyhhY64BQKig9W+G9e
K11mATMHb5Jfx1ScpgIyj916SLVb625GWbiOx6/a1Fw1Kv0ytdAE338u43cPZqJVIOlvIzvnvnkw
2IwBaUnWekEUNxd+S8M8QoX+QEiglTNIcDDUHKVO90w4wVM2ppPXM5dGSqLqsFWNfszpw/v3tCgz
vv3SzBEdYHPSogn8ZnGVGm6sSi/ZY0n8tSjt6edfyW8Sk+OlY3X1/uWWKeOb69nIDIJNQesNYUr3
TSO4E67m+HnSeDJyr2oh1Aav1XxbQHtc62TNK6N3vllp/KnUswMIkU91hL1MHw2XnUh+tHJIV7Md
zZfv39Yylf3ltqDa2Sx1trZzHom8OEBMmOZTAF4fcElPnyYleXYqQg06ehyZggF+UZ1CmmSfgdiW
OxDMZLRhRksXHXijHmlMkcdh/AEWJCpy9AUc82owWqQY4vi70+ztVoe8b5GCtO7BbMxb5IWeuyAs
wVZ18VZrA7Q56NS4M6jWNme2tEwdE0cHKK3jGwYrJ1435lJb67rABQP9Ax1YCq+GVtYytjsfbPGs
14f334349d0sk2TbYq6MPjW8gtfbURn92FIYLjaylAsT2O212wboowxII5Vu1SIThXbB2OIh3vaw
7pfHpLWKlgyScJME7AdoA93vuE6Opd5pW1tnStQveTPepkijZwFwvyRDuFzSCQ2yD+OZ8etICysj
XYDLXBCZcN5fPwO9DOJ8TbJJUoouA37RG3pquLO59WMn4CSHTnbCuqfeGkCQ4OxGu3rQyw/C6q+L
H81GxfISi2Sra715kxlWTCVqEZWHhOZRDLwYwUqIcuw7P/hmv0YaRoeGVOC5gNwC2nn9vExBUMLD
Lc3zc7qCMXmPge3VrnLb/DmdGzocLl2paOkuVyNeVBB6uRnEy9Z+hl/KUIZIowRP0cC8yc2o9xJK
QN5vsgVkT+uE4p3+9gklPRqnKW04zad2ef8hfvfRGOAxALVd3bZ/mRzjgwfHFyk8L2wgc4kUrkCd
j+U6a8g64YZUW3Pofiz10pTQfuqq8HnK5AcR69cA6QKLYJ5oCtP69ZhA8qVxS+hOHtikn6aaqjWv
gYuBkF0P00dXE79OsFzXRKyXua9p6O6ZyvkyEMEcAGAsICuQUO2SsljskpzD3EDSVEaAortDQg10
kSNCWsF1NhePxVgkEL5I7i09eCqlMV2mVjXvewrvVWIlVOYZlT1+dj3Yx+H6/c/06znKHdvLoNh1
iOhvgQS1PbpZM7K1kE6KPIxB2o2Grt+206mfaGUDDtPTD4aWv0n4uRorQldkqLb9dielpA5DUeFO
gnYBS7gwLQrxUZziwhr3YdbST4UBSEXbHRraUxcKyNS5Z0i/XdviXqijUEULwWdQtGmTHkCkbeL2
UQTGriKbLU1KzNCh7Dbt9lHM5FvnnkhuUDgJxs8IcSzRLLLp1y7jF1yvo9uEimoNjz3cW7NreUHS
hOvINz+lFQZNhsZQr0TtELvirNyF7pLM+wNuAsuE0qWKGwf6JOfZRpFa+oqZ2/elEnailsuNOhMK
/6upoVWEig6+ryiN/E/ChmNaAHgcYelgNl6HDaxlorC2CBvB1IY3CILRFKB82QkUJ1c0lgvOQIrc
SIkn2uZ0s20+dD5A1BnQqdvmTo1L9USP6BzrM/xSDtEUQUKzmhLuYSu+nEebVmkAyGVae8wYd18h
NPbRvPnXBFYSX0leQZwsktlv4j2O1Ixga7fxcpfDuBtxP87cZUtYYX8R1CpbKzlnXyzpuzBn+uSD
M3MhfL/JJ6Sw0NIC8wL+xXiL71FyTNQAQdHTU6ZohahH9Izo90sE7Rl5KushL4GeR2aYHJAY0XFW
54Qc0YogKPMnUH9IeepuhrY7y5Szi4nSwuZ0JuurbnTHZMJ/pqH5ep4/0NowNPp8PsKloQ+O3i6X
aQDcW2ZLSnp6tvT4xqWdO5fRbV0N1oOe2ugZqFPdo7hlO7O9Q9KArn2gnvlngeZr+k+riVMvlwBs
Epdx4/uR4zeZhRRk3zh7KYtT2Vne4otg1zOry/FOK3CmZFstAwJwy4yEDSZCZcQ2BKcO3DGZD6Oe
6Cs0/un7RA8MD8rDeQwz6x3AqVqZa07r23SJb5Vzb6FjxVy8/JIz0cfvkVkE1taT9/7d/xr3IJmQ
UbDvdcrUtzVS16I6l9F48TRpeYbPfHEJFclEVXzuRqV+9kHU+yV5dllT5KcUZcAcONiXW3rxvkID
+YwaC3iP1nYJZrsF17xM7s+zmOb8eTuGQj3xBSQHoBE0zZhztliPmMXYbeuqxo0DMMsKqMZHwePt
QXm+OZu8lv22oIaWv39xcyjOxsiD5YkHUNWkNcg9TKQRIF/HFTaiH+HXfnO5ZYuDVDINiolfjp2k
tBsGkYk32MuqdbPTpJFQWQ1rh9rxo4pYvs2CUU+wiCggOgGyYYX6Zq2Gdc+0Ec1mLwxD+4QlkkUs
rN3NaMHgqBMsmAa4GXArA84M0lBcywZ/bxhafmUVlvt5sDKItH23d8zuunHkiGIX1DVr6CE4skdx
Kh6bi1SWuacGmDZlm0en3IwVaBV4pNHc5js0WmnG9zXkVE27jWiHH+IuN3ZF3FRYUIoMYLMs99Qw
VrjWimjYWIGNQKSJ0vzoDzs6ktW2DirLw9vVPILl0JioJNdIqKHDDhzMc4XJO0SS9QRHMkYKJwmu
c+rk3QylGGMQKTd4oMOVFNqTsaDtjKHqbicStR2mjvHGDanUfMx+aRvC9OvIuREHY069wfHTPAJQ
tcGBJQo7pazK8YqyEKaOa8RwM5S56ZL5pme6ldyriHvQSj+gv/snKmDXQRiJjUZ3+EI62kz7Zza+
nj3nUAewP9ho5ttE3RWSJEwAoiUq6dTrr9cyAt610lJOeRAUEkct9piZghrJG53JNrkUhGH9uqzQ
tPXLwVqb82Rhh7V8wAIou6zhToPsIa93a5ilUYq3jYhNBMAqrNzVAGWRBYS6gURjkQC5sfI63zFE
sNZLV2InzVm7n4rBOqnl18dFe92G4t52QZsMowOSxEa7uauzfC/iRn7QcHp7eAH7Y0Oxg8ljCDT6
m6VO5DQWCVS5C2Fb1BBdaBF9kGm8DZ7nS7ggDG2lO3D23rxgqjCbRkAgAQzEqO7CVl+jdUiZUaId
1aDTwbvRPqqK3iYFXJTYaZHcUE8QNt5EKITbnRiZVBerSLQUGX7V63LWK8ZuiQFggJGeZi7mrbWO
9UybNB+0tYy3uT0qWUuCLEjg6afScXm9qqYqQwl5MSzsIOoxl48bvjZCXXG8XBCRy0OpWukR7e5p
OyQeNhH9p/cPrTMC7mW/53wPtMgFtQyg38VI5GWUZtvUrqgxhoidRNv0U9XsM8vEJz7RocqgHK/W
EWZP30Z99q94kdYVDgf+Jm+F/FNL3HkT9i5k7MGKd102y0e9EbzKqiG7C8tdloT13YDIw8GuXR6n
Dd1ThYzSyS2H6kEEoBKQscL6YFDtjYl79yrES+aD5MteittXz0gCC/nSwSOMxjVn8+tnnKLWsSqO
0F3HrjoNZj3u9DIw1qov+uP5IVQXpjeoermnJuQvGDz62B6iCJ6ib4bxgzVvTHoRSLD4wV4FoYRI
H2vsa705jLN4LsFi7LXeAUImkXaNAvMWgw1zW9ZonmAp0uzTCuY+7rfSc0YXgQO72Wp2HIPmcKpt
6rQzCJ9imbHn2i7Dv3VT+/YqKENkduuqQXFmlrvS6YFYhMHdBANn7fhDejPN5cNcxyZBqDvaQ8fN
4gyGpFfYX/4Xe2eyIzmSZdlfqQ9oOjgKSaBRC51Hm+cNYSPnmUIh+fV96OEZ5eGRGZEFNBq9qKXB
3FxVqaSIvPfuPdeM3e5JK4uPv75lgA39+XLShEdT6dIKtn6ttSrfD+KJumkTpg29E6k1SxeMQhyq
2zy34dRI29hMnQE6S4zB0qTjtUycytulHiguLaZ7lTJfXmY+j1lCbukR+6D+Wo8JiaqTPx35X8Sp
n2n1eP2gg+J4JSojEttU79+npPKPVHn6Uu+Q7Dlda29qsyaYszGbJeHmDzIb8fEM2l1OQ3qVTmQ0
/vUVsP+0WtkGNTdPLEkAPMDGLzdUEneQa3AkbYyezdvDo/BiDoohGG88YAf1zLUsPcLhYdMBcc01
hDh1dCRvkEAmGzB1EoH8zIl6vyfWD3lHzGNHXA7R5h758BtTVdyYguSDBnEc8TncIyMQtaURe8lS
6h7hko3cAhA30BLYt6q3nmzNgEbgu7dBFH9Q6xAAwXzqCPrPxZ1YwSkhoPWq4zy5jjIMxX6fUY4X
UUWO2NBtBb2Brc3Ib8Ngkhu95yWJibT+pofzz+4dJhc2TW/Wvj8dCschjphRcu+AlfrCbeBdzc9K
I4lrVEbY/00b1/3TzjWHD1ko1OjkYjT/VcycS3pVuuxYYZFTrRLm0E8IyyLiWAsifCewgBacqItI
dNHR9BoWvIbjl6G46ENfc4L34JcwTXzs/eAE9O8cTA6caFQ+gziMMFJW9chz3SdIXvm3y4oz4QoQ
bLBsyEdbmYqnmWP7V9nW07VZIuYz6qn/NMqy3cGiM5gcDsUpaXWxhngZbnBXq3vVZ80NA/9gZUD0
u67ieILVg04jtQ1aXGKq16FGaYOYy98zkb3u8Mfs/HRk5Zh8ec5F4Z4a3BVnpbMst1WawlPn7TAx
Jem0yft7h2yVVduzzWhR7+VLx8R1SRIyT2GnJRemXurYxwr9xQrg9iJiZpwdkd+38ZuctnMfapua
CwnexxDriF4QJ1AeiOlvHrR/crdwk9CL+c5KY5f848LdCpGleYgq1iOHgjWE69dUDptTCXuPbKfk
bwrQP7/eDBHA+c8EiJvz1ypdpLD08LA7kBwBcfUVTwOyOZ88x9jbRRPZq3+9kBh/PlhStsEgoOJF
pu66/vyOfiqSPORtNdRze4OOyVrHI8pQA5/OKc4ZRBWTHh0H347XIWz5CsfxrmlZLgSYkXWZ8/C7
qmAUoPDNAiJPlr5ko9J7vmq9tOfUZ8LmqpqPEouyuclblmunmDd3J2jYeeIMeEf5Os7LSAjAEsU1
N50wslf0i/U6EahCE1I+ViG9ybvSY7ObCKrP+ijdMGX4qgl+WE3K+Urd7NWMeO+a3g2b0QumI30t
cw3qhsZK2dy1RCUsQcQkv22tVcpRq/HC6AlFmbX2cwT3BiJfNCI8TT58623ELQjiONOPqrO7bSnm
3RQY3DKsOJekgD+XMgesrM/P6miyfjS5HN+KifUt7bnPJ2z7RIM27Q6BLntPyrLbplX9EMeptuG6
kXUCq4CBhVuu6LhMK1+LmAKM9fDjtxn3O+h6bdO4wF8XoF/kSpoKxCnSgsU477pJZLZ7AotdHhaW
i9hQnAe6YeIiDoS9d7p3NmoG+DLjR78LvV3r8oQWEf9EDzlBFIEPYa5E/I3mu9s2YdtcxAYqoqIL
SvYFPqbmGMlFrxHJXMF1WIMdFVs8Sj5ElphrlzneNpvEvRjd9xy9LuRu29zzdPYnPDXWmhVszsMc
YcrUGUeWmGP098fdF1w+lKa8Apleq8rnpAOBnSG6b3UU7Xwd3+/2/9txfv8SKjm/0HvJKCQOkfX+
5//+8cKzifIPPxCAzAZ8LT+b8eazlVn3s93y3/3lf3z+O5ZOU+Bq/OmZ/5Oh80p+yPfos2nGn/2b
P/7sN/emZ34zIRBSVulcdw5U1D4/svycb87c1nEcSiKmDfNv/uHexKNpMxNnbswAi94iZ94fsEhD
/4Z7mREFUBSTliNmxn9cgKvfTsVcu3/pTJyX2J/OzhybLZeiT6dOmFnh39sgPy1QTkVum6wkj7bn
PAcDgfWeQlkVShjCCs4CmvBhE/ruCdbF+09X6sdb+Rlc9stq/KeX/qXsNBMDzp/eclSxU5gMEQDw
KJl2VRq8qRry01+/2q/NR9vFJMEm7XGswxJrzkCYn5fiJOhZ8ADtbvoktQ9hjS3NT9xqNXhmuhnb
6okHNtnyTXNez6S39t3eXUKycFa9kE8c3EkBmGbibno1du7ZSQZOwpmDHjB4rOuA7Zu8J4bBydGw
ivbvdpJ/8vaZJHoeGg3uFW6oX/ZKs4FhLfraXjtA8XauZSUsWZ1GNF9vQ8HqJoesGLRoU2oNV75M
4lsqzEsTNABaWeYMuqyf0okEG4JVnjl2nyLL3ppl+ha6IJ8J/Nh39SxBn2cS36V7hTdNi1BR0BBV
Dqx2rPdhbep3WqHbDRTwZkfy3goIMdT/67HUl0kUr3snurEdQslH9dam8OdVhOU/x2rSdzBI02sX
EEGVjbd2/TE2UAhoFr4M8TBt3RFeYIfw6lwi+wYCWKV735Nyb0YCYWYLVczx+DBDYT3YjWFtzcwM
70SqX4M4R/bo88pW3WcnMxzG1yRHbln6ybAFg4xXg2C8hV0Xuosi129mwW98OTbI1+xM1TvdTcON
4wbDygFnc7A1FZw8D1ypDTHySvWBvZvyFiZ4W3ov9ENdttO4vPQc+AbSr0Jit4QgKyTw16iZzbfK
4RBYYQs59MZRmZG6QAYNdFqfBc8JxMaNI8zpUEheQhec/nqaehBLq484Tj7isBR7Rc4nYmMQytQn
1xiUmkU5RocgzZ5jLzrUtn8f9sJcuHw1Tjs25JrwB1USxDuV05jL8rY+G+zRTHuxCPB9/83jxAL0
h4UDwyWlEcMjbkmaR3MQ6c+Pkx+WRl11o7GWWVaQoIhtAaFc3RFDCJ252tJvsu7i2BxOUyS1lyhw
DEKlZpp6ENfliebj/YAyceqD4qik9D6HwhtvrVTP8OQG7VL4rX5Dplz62NZSnt0h0L++f4T/Z/vV
z9vVf24/y4vX/LP9vmv9vov9tm/9/uP/H5sa9uKZIPCvKQXHz+Y1e/15Q/vxJ79taK77jU3HYznS
PXpKRM7+vqHZ31hf8Xz+2M9mUtc/NjTzG95mBt32LGsDDUdN/WND877RnNKZCSHmBOdKMfHf2dBo
2f5yZ+I6Fw49RpOQXHpCv06ZWPvQ06e4mCxSjfCaAwwlZAt1V8QbOhUJ4W6ojs2jsKZyR9xHt2cy
SS6Dl/vVOUq17tFWNtluhRclT6Jq4BLo9Of28AwBB/te6rlIy2nPh07vXepRJ/AVC6HiU0O68rs9
OfLYgmJtDlIXsllKHKD9JiS+GY/IFKGp6DQfdmkbVwmGCeayqyjPwg8mhE6+8npPwCK0kkbh4LKi
ejH2uCqPikbWvT4mCQNYIxpODgTk49TWjQRzo4vHelLmY0Cj+65Fq3dZTl0FmXxqAZYUeshC5BG+
E6dRi30gk/7BZM570RYKagyDv7hb9HZh9weAvpG+VmB9tYMYI/NWLxQExBQ7YEYxDNeXTBGm1AtF
bHGxIvl1CC4jl/yGtRNNsiD50+Z03gKPV5eiJ3oNFazdAcwKbGj8OGNsIlESA5WldMNGx4qRV18g
AcuTCWioXeskrJ3KMdGdXRnBZl4Ky3Ei5ibJeKsmmm5EspnkIHYd3NBlEXdMTJSvkQsgVJW+p1o5
kWZkyKycA3p4ATsUtC3jNrlMWdwJfnFt9L9Jv0OCPV4EJcBhMK9gRglXaIZ12+rlvWlZsP+nZCZ+
inAe/DeDHrJON8ODDnSayb8u3vXBs+K1FJIch1wOXBqP/EgiTRKBH8lpzUdY7vLRCx2736jMbr2l
p+e6XNquS1wHDJZbm0ReiKNejfir6ohR3dtDF82qnHDAoMIrrFCS9flaSsu6SXK73DlhHV+3QIUI
VjAS8U4AmOAUEJlwhFKU/3OKUXT0kc+vQmmIT7uIWqL+JqcJybkisgzh+OTv7V5LxtUsuCUbwFUG
/84QL7Ur57gMZiQp1h8fSipoKTzISjcnZzeSiReAxIwD4EWCufVK9tJ9roswaha6JdpD600D4ogK
H/Si9pBLLCCMyS9hoMTHOeAUFKF6ZWG2JlodbqdXy00AYZ0ETasIrvMe/r9ZjanapMOcr6givzEW
YzFWRDGYXXOqM5F+yNgO9T2AUkKagY42K5ElJSm/yo4IBOaJxgLhx4zYXIwUmBAynJeMGewG2A+0
rMyVw7qQjXI7tl8fz5QJwFm6YkeOiEp2eqsnD4Wp9C3HxWnt0h4+hX6bHUf8z5t6MAPMy6ly1Xn0
SezBMReXD42yQMW21s5wKCSX1FhVcrD9vLjFwLbusnbst0lgtNM+b7hTyA9zzrr0MArR3tEVL2BF
9gKJX1y9AaqaTmY/j8Xx5OTyAHcV8i6Is1pb1uPYoxK0xkGkm17qWdPQxycbdJGDFHsLtDq6UfCi
31KONhVlaAfXVI1ZMV3GxNaMSwhVvtz4DuahlfLCgbQ93+/IaxP+JKdLK5QzjY8k74eOgy6EPasD
uScHe8TQ4UQmPC8NRK/l4fsABc683iXPSAOjUg4VonUvWc+euAEGyELnSVpWDsGBVEF82sX/+q+K
gxiP6qo1+25rVFW6+Z/N/d+pWGlBeRRa/3pz370242vxx939t7/5fXfH+YtakRwdhoH0v3/a3WdN
KAJxXsI32Jd+390talKGpzOBA3HYb4jOH7u76X4TM3qH3R1F/wzv/KU6/atq1XF/rVcNVOI4sx1e
BRUGE74/HjtTWqYmvqMCxLLmXbq6q1y6okW+KaYkeQpFJ58dr8r2hchUuvDnuswZbGutp3W/a3rT
3ycAXklP5f+AYpb4D6X0rCc6ue4FxHH7PubweVambu3Ju03eaI9ZF7IJhz0LRrgTOdpFVnE/Hpe1
0dkfKeMhIptr2V0IABB3Np6dGotMXnyNY2WeG3qyd2ZmqJXn6+ahiCzjqq3x4smxL5ihCejslUdS
TBUkDzkVxaHRPMBoVZScSTqnQdUBvtfI9CR9wcdWDkE4STp9JdwI6CGpKEuLFNc9ie0MS0KCSqlF
yvDCjwlDitu4XNlDmiFBkpyHPLxhMTKpBYEF3YXkjAeJwlt5ERbKMRbQJG27OltRpB2GTLeBV0b9
hW329qanVL/t4diTlkdMcuKK4qI27XYfZq0BuKzub7ICmyu+XsRfmU4+j3QuAtlkFwJHxRbRqf9s
NLa1JJmhP4SIS9aaWaeXWWY1Oyed9GXXVCAWZTe90i8kOTtOIEdlpVyZJF1i43GzNcZc59DYunlP
XNBXUXSIzIquIaZ6yFP1THMyfOj6UD2NUdDe4WcIPg0Q7+7C9iYMtHFtkAk7Ur/Fe6HLvN2gx9Kf
czxkMZLJJK4WHv66l2REL7VJkahfwWcMTkDwhiPdw2HdVMob8YNMuGpL6fursclGG1G4RegusJYa
eIecipNHzftljIOzC3qw7Qu9NBx6u3TZrdzGgTg49W028r3Y9Wxyjd2vcUiKawJpyoM2COucZmG4
ygmTeCRaIlxT28lHYj/jh1Inz7mttRts+NUx6ZX5pQ1sszlgyYFhXY24F2/qcA3M/iMiXZIueIBZ
kMzofnCDo5lZzkqqAqZ9l4DpBgJnyXSBPNg59xDyyaL1jFU8teOBKal7CRxoW2rp/RBx6lwoN+wB
ZpnFa8OJbzeattqF1KOnZqRcd7BhU30HNAZakLfWZIlr6tjyUnVq3IxCDIc6jJznyGqEt06RmDy5
sJ4fwipL90Wq1EuOY+GVpPqBMWhurcrW847KqvG9+2o1m9PjwahvrH5uO0uCAhNoIg8OjuptU0rr
ueqrcD/J3qJ9y2TDWJRxbJ3t3Ioj0NN1dRG2NOuBpZBnaZEQtCRavrok6Li9ir2qegwAiM0UKF3u
zNrEHqdzTNkkhFwHPUdvTmW2cRNqpNgvU1aHS0aIcHIHUpQWkZ635qI3DfUgckIhZImS15208hy4
ZCMRcGlexljoz1UhjXVHU+LQMlk3kJkmDnGxVSXOxGfHkD+zzvgMgM9+kqDQfUrh1GfTwPa5Unk9
Gcxy+owg0aKqkae0zbBUQlf3cUOTZktXXic63pGpu/JHw18BH5nhoVbiHGvLJ5xZFr1zNgtXrsvM
0jdytt4T2d3R5qps5D7LIomqNf60Pt5MruZddB4jrUXDUvxMx3IW2hFxUKzwzucTJAn4v6ueCJJu
gXGDEMxmUtGpg775ZMGrypdjEsrrQesh4OWTGJZBEZovNiJih8jLNnoeSs+yOWKknELcIkGauUCC
7T6TFtUpfNWWh+3ZdCCvG+qp5hRaHEivtzjraeW415TuYN/MUfcspR9rb2E5mHj+nMp9Am+W08XL
vOYKv4t3BqA7L9oqGFkYh4J6kJDSYSPNfsT2ZeqDvihMX3sW0YDfPy0HWlOj0Q7DGXRWTnRMbFYM
TnWtvlBZUkfrAZvEsA5Ng3DhVlNJsx1h6hLtgr/gNhZzSaEI1dYWIyDdNx0nG9hfKQTA3d4xu9sq
0jUyRaYcZUXVNWsXnPlI+kA+3upMdBn84IV7jhtcecs8ZqKxwLrKsChtxwgPniY4vdIqSenFGcki
RIHCgTpLjQP5FGJvGF0FecOKhy/kH8UjA6iWeLN2zJaU4ypcoF7LbhhtBI/Iqtpz5ttfKKGbVyf2
b+xhAL4+OSHF2pCVKCv03D9IFNUvo9cDgLfROr3YUqekCfN03OsiJBUXkLDYhkbv3gSkbXtXBGFg
Uh7tnNZP6jZq4yfztKuBYbBNMx/mgaDtp5YZi++9lljDEcFj+KDbMc1WScG0ImR9TnxDZ/xpeOwq
FipbQiQxrq+jSDm4SPrWXXS20XKOzqWz17SM577hQXiqnEzcjSizjsCqQa/kBgFbyzKyUbdOQdBv
AyM07iXEpHOaO0TwppqexOtCFMkTyives5t5+UHYrQ1ze4oDsMuR3x7KLKsfkRbl9j52kxF8hZvT
I7B8i6gdFCPWCVWkfNaszMChrbe8QacPs49a6yHvDnUyXRRazxPTkUlKumEmj6yhxqtudOOjouey
z4gjGhcBSeasvTCRZ9oRNRw3t3z2+fvrtrcCf2b0qC3nau25ztihCKfW73MGS59Gj7Q2iAv/gdAE
7R7iTnYN4jBsYRg4pGrQZj1bWUEmUBlwZVl0u8sksI1+4SdR99DTUYYkGlvli5aW1Z4hBXL72qqs
W4f5PoEhVaq9FXU3TmTa6w05In6hEQQTeBwVfNllrzHeWgj9fZ806wS6MOo44ivq7ayje+ryRt6W
hV58upHt5Y8Ad+Zx9Kjcm8RKgMm5auRKAsWFl5qW6ZUfYQvhcgnYEigcFVY6+gDoT6NrgNSxWjC0
CFaNildGMmVvfFcDQpnBqx5U27EL9DTmbduYbtIm0ir4STR80NAYPCBpVZTXGk5c6s5a0x8qUknl
csLafOqjSeSLIXAJm+nixpcnNzQbsCFSAFqF09Fd6nXKqyuYFzF0kyh4CsSQ7YFVgUiHB9ZdhkSy
PMh2YIivYn+VURFT7pM7emUQmHKekF0Rf+zZ7Y00supGeYHPZ0bOtRGN4fHEh3G+j6NRnBL8qzUd
iIo1InBGarBkTl8tDTnD7tJ4jRWs40RrEC0JdiW5pEcXGAtgT+brZLjlg1ajwF8YotUvRDNwRcAN
1yddH7hClV3FO2MIvdc0zqx35k68rdBPugffGBTXNxojcnbc8J2GYLYTNJAeYj0ut9FERdpqHcEL
k5Wcs9Ghia4RcbdNVOLs2GmrdJsLI5+rU32kJ5+0/gl9pXcc7I4+wGS6HYJJOOIvKkuxtGQFk+es
8vPPQCbWwQm08G3qzJF8zHbyT+TiXUSYoPbjRNjqbzOi/+kI/11QA6M/uqh/UTTG+et79Jr9x1Xz
+vHZRn/oDf/2xz+qR/+brmOdmbW0NkqLWdLxX8NO8m1QVulIylBC8JsfvWHL+oaAx2ASKlzPnNUk
v/eGKSyBYorZFo6p4vuv/hvlo/mrts3GHGfQt8ZANPs+zV+1bSZqF47wiC4L0kyhZrRjDXxD49iu
jWQbdxbLFUiwB1UzdheaorFnB92KrlCwN0VtfrCNFzs2HROTR3cpQbxvZ6vmS9akLqBbUZF+1KX1
O1obEC2gcRmjjuEFXqzhxvMjbVNKumXww7vmwy+CkflU695UmhOrdaRX9nuAaswmp0ZEm17LNyNy
Amg12dGGKc7BXXT7egr3QsQ2p5NC38SVf6kTGbkDhyafBKEIH6kmYFhG0RhsGy2QG6tgLkrKUDZ8
hCgOXqQTyMPUJubKAVqwndoy2sGoHKGqAW9qhxoThZmd/TH2Lq0sUOsR1BfdWN2gAyw5etU2xyFo
3leKpJs1U7bIoOsmxm2QFQlYlSCu7vupLD/jOhbnTtesQ+3JO3yI/qM5tR5S0No2FqZDqoxJ4hRr
eYyRbJF1TeOug4ik68WYJ/3WG0fy7kozfWrlqB8oYLtDkZrvDa7Fc5DG8YkIV8o412tvs6qK9tbY
ukstmHTElakbzwwl7dEMQu9Yx619CuFivRGXRTTr0DraVz+K7pxzpHkq2ZnOfOF8Tgg6wNWKZcgE
7IJwvbZYYZfF2crGDwHA+wKxX6w4x9Eizvo+P9Qpsa8N66bKVU7KbOZJKkuEF9zwNhdKo8+bm8km
m8jKiDwJISek31sDQdz5Tk/MqEyNuexGy2LG9UoRt7P1QtOlkuucRd87fcUk1kqOjCcfkLGplRMb
+R1KUNr2LbtYN0XW80ANtpMmCVO97eaXcZYlLiqciM54T7BwY6p85QbtWpHpgHRNNOvciT6ZDUMe
jhk+XBhGn+zlbB7JAp3QJT0/qXLyP5zKDu+H3mDOqaz8YRzMjJlDIO5UQYj1Yhj8mopXkwygdfOa
7gbIDM3X7JVApQRtBPnfR2u3l77daEtDhtUGPaB5MVljvkmUGC44cUuSDEzu2lj3s/sMFWO9GlDN
EovENfMT6BlaU8iXyYnKI8a66oYzs3uc4srDxqSDyRqSjxpjCACfBrut6z6k1UDMY86huNHCo9OM
yUo5abQdOBjdG4CsLohoAxbpaP201gNFeVtHSXjRlXp4ZU2GTXfGsiKesoliFqmpvm0tetZOoJPy
Miaos3KnePemFKCH72j1TnMae9OQB7UemvRqkuV7awwHD8bfkvkEEMcOrVGpznlvVTuvph+PWP4u
qhFgGYW5rwo02kvG3drqp7X6nwgtrFnk/bPIg1XPZFqLisuZrVe/mkwDN3FV2bIcUEyYTIWcEm5l
VRVFxO1YVCeO+Jhbc9iebfGUDUyd5lil5sIGlQCALSjksZt69RXkEXkCUZEd/d6iuENPlp7K0Cqg
O2fNpnUViiVBHztfdx2q+gUnxPTG//48w9Hi2bbmkc6+4LkQ+3ZeF5QzSlBCvQXYUUK+efnrj45B
6JfPbiAMRY6KA8dlUk7z8o8Nw1HraCSiP94iQLv14QK5eWrdat7wgmAHmUGZSrjFYX1yGwZSoEAt
tfH6geFZ3VQFeubQaYw1lOgS+e0UkO1mOgpyRNZ/clIM76J8GPdurXY2J7/amuphacoGChRRFREn
XiK0DkgVyHlJ4/e6HkrMI0Z+NUiv2dMwrQHFZfLgG210MGuU0cs2RaJK3o21L/rGEkuccN2a62hC
R08TxCh9vHX8Ib9iauO/wG0sXhgIMGASWfFm5pa8cMKxvsiIpN/A5sm3Zafcp1Jrgj0iu+BqzOP+
hh/dTTPJ+CkxrOgw9Ap9HGaE9ZQLZ6vgpiHJU9bJ9NS4Rw/faQxXumATdmZ4O2Ya4eJqCkkrbSOC
HcjVI1nRN7aNcsQGteC0BickO/YgSblHkMxDZzrkEVp+9cAR31/VlDhfYGgQDnRpepQKNcuAyv5I
0RaKpWxN5wE0jnmJVlC7BZZmzq6ckL3F08vPOimHB6GV4sFxy+IK73tz5aVOf0Dya+wg5kWnoNab
HZ1Lpi3equu/K/oBadceFJWFKw0aZEqp60Hl6UWvCkmILV6AbYQUg29EMpcd6+YWkyvAUnPioFsa
5ptdWcEd6Aqig4LsPuoSRczK5Khp0bVT/pLrlTpPltmdpqYDGAsj7AhtVZCql+IFYgR9cp2RSrVB
h7VpjGQkHjT3oqXe9NVsmQgu6SNU14Kmdr0djHAk6nPWvdhWsW4aJRF1T+mVxEF5JvalW0UtIap5
aFWHAW/PdTSvIlkdcFxx95rIlk1ZXI5mdEvW94KBbL7VwvE8tITGJp6roDm5NGhYqtp5zQoFq1cw
r2NWaETX+aRpX968wvXzWpdhSC0VtAa7Z1ZctJkDR2VeGOX3RZKVwl7JeeVs5jXUayLWmSw2JxaC
SO+WZIL4F+O88g7zGtyY9nAoVMmaW5n1CCiu91DFj6zoRlnf9G5dHidsry8OzS24JK5Lcd7gOfu+
MSTzHuHOu4WRGaQVpfMeUodprO1g0xWA0L5vQTqxTyEA6LGjd2jU7t2ol87lHEQbrEiH8T/omVnd
wiuNFFKl7jUHDeTVpp33Sdkk6Mm/76BFFXpvqkoctgruaZDgZlwdqywnvqDq8npXBqnaBtAE4xV0
Prb0iYicRThqbbQq8H1tDGJTmsWENPTa/X5qGOcDhMZJYpqPFIi+OFykQiXLQroOBFbOHTrHx8CP
auavSA1o8XjeOtDkcMwzo1plvjbsAxJiUPjn+bbi6AMvLp/tgdIkMNOLSCfsfXtZDKUEZpel6dkh
p3VvdWV3TsLcfCQW1L7oWse7KUYjyBdNG7UbWu3+Zz1V5tVAT++9z2R/FbdjfK/JpLsNaCaBKNal
u+9CtLQwqrRhldOuodj0lbegjLMuhGbJXaPV6ZkzHdlTyjaZT7NDOVc5BtFDFVT5RSd7BpaVcpu3
oemfdPqfKyAdc2MLQfWGFABj61FF37khHzyhatg3WhXSEUzIhg59+liLqiUyxkpt7QrtkbV3xWDf
5kkprnBXOku8w9wfeVzeIawO40WpN9kel3/SrfI4Ijgl6jHjhUYFaMfHmnUWFUGHolf+joOl/jYw
DH23yqLiGk/pnIDEg7YhiNjRF4JuV70IDS7jSAd7myZc8WU2iPjgiop+U+NpB7/u1S4n0OyQYH0j
qIUWwqqqRQjASdOfjcG7msJuuCN7LV8OaOm2MelUh2ii58hF88R1NJrpS2KJYAUfzoGs3+TdG6KT
8AVtGUoJl3R4v0wJJRXBmx7DbeUdOeuOCJujWfnc/Brwe7ZyPb4Gxl4vCitD1F8yEQCZPQr7KuZj
BCmR3I4AoVsSX1Ym06duzh7eroQ5xppIfE6lg/r14o6YOsvUn8oWAWU/tvLsWLQ/QoNusooZtJeJ
O+FYiFI+QIEHxePAjgkZ7mXmiwMJel+58t9GTMpkc+YZBVJQFnu3cTyedsWhvEjq8IbO/0hQh8PB
Okj1h2SIUcSX+YNhV+aTXRty18uselSOkzwGrd6A6KyZvWtYtPpueil8/cESGSKUJHHE3rHLsynU
ZUIHm0M/Clc5DNgxPPYKHis0QWu9H3CUS78U+rGhFbL3RMe+G6TOgZ6etUNKk6yJdx6fY437VCc+
5DgQcLUicDZ4N5sY9AMgYrV0y/lYPxUDB+VBTsshsj+kjIKtb9faRhijOeP+4mM1muF4lIVW3git
N+/Ab7fDMi6H7rNPGQQS89l6p6IuWG360Epui0oxmJhUy4fK03zjAuJj5MEox08qv+dJdES8QnIk
+F/7+DXDbUr/sII6A36X56fls/eEGsOtT46FoYhk4IOOizjRsrVNOQL0sCVGsHGntfKzdlsF00Dh
ZAGM1+jvDiiVt7HD6w965j7lnATjdTCNPsFHSGqdyiKM1JDuS1THxtbsQTxCJUfWm2cjT20z6oIy
NEqAfpftPsnaZ6Zz58nVv+ah97o3AuO164mdZWLL9ljdtalr05JDKH5jhs2YbxU2mY+EmRJUX+8h
77BDaJK9fTKhvqu+UVtPR6IPmmjY6lLQU2KE+dCRjeUsgpGluG76hiWp74Csm9V15QbgnNhKuL/x
OXd3tCemOxJUqxmW7sml4TonPY2YG5Z85qusKM1zQsm+0AKMQoyQzGupsB6u7K7xMHG7vnYLucS6
soxCfdnpW9BOINOqAepriOzrUoPlsGvilGORVpxzunu2Tkx602aBC90x2YpY1qwiJjXG0Gqr3PkY
RZ4lG78smIVoSDiWyncNfALBqVO0kTkQHjuzv3B0+eSlL+V0M0Yh7X06enVhJl+JE16kaV7gr6n0
a9cJ6mfuLzYvBkuXCvrpMYsKhM99zzwgzuhCLDX2WVg0rnzGCaXuRe5bz4GeOo9Yaetlp7f2Hlph
cmAniE4iC7QlKjljIYMsXxday6EiCfddk9BedGMXEoeMrpnkihuQ4eOLQ1t4oQG3JWAe68OUCIQh
RepkO89rCKiDcDA80fYTRCuWhkWGmhntQtsBDRajy7Zp7zJA9of/Q96Z7EaSXNv2VzR6Myu4ee94
s+iDESSDbTI5cZCZSe/7xtz96+8yVknKSuleQcDFA4Q3kVRQMcmMYLjZ2WfvtR/MIaQnBa/Xfs49
ezcR1zzYlcMgG3OTnfNw3pIxnjCqOEa2siufDuWWLNjFycv6aH+a2vOB3kVTxiDHuPmNJjXPiLzN
gcaVACpyHnvsD2e5wu007PgZzE0TFTSY1X360oyz3qBOUYQFrbiPSh6iq64SNCfoA9d3Y5ZxMnvK
xVzTxNsN+yysuZBp/NVAmpK1vGs/BgjB22Woq6uUZ8a4YjlDR3dSeea6z4VyIR9lfAKz0uCBvbS0
Hbiwrlf8KNW6Dwq+Yuxh3c4hnui5TDpW0Iv3rY5K6xBnPCFCCzhu17szH5WkOJQmKndflu1KYosK
yf7wNFOqUesoczbzkLEelmF4DQl3VQbxu4Mwk2bGMar4ijg8tfS2rcxsIolexaj4vr2OPTDG1LrP
Vyh85Ybrwz1z+Zp2TMVrS0HeyhVhgavSpJVBjR72RrHAr3ZixqTEYzanhfIEltfjJQjpZmkr+Z0N
bsqFoStp/lUw3pWfHH0Qr+tGhMDxsHVWV2WZZt9N0vdfywRjIX4qM7y3xRhcl1y0L8wq/cmm9u9o
zC7KEntd6zkV9rjuo6T+WrhWQSVBXp1SAYzZ8eqUGJHhHwwryffY/BpQDITuuoTM31SujSn1cpDr
AWRRL5V7PmHWU8+4diFOh1OUTe42KdA+YuwP0ojgYaTZqTKdq6k7zD6v51AGX3GJrFkc+vdmSdkl
QNz02TVy+9hkeX72ks4n0ymcY6jSSwS0evhXCYh/NgpT/AVEy6M0F9LWn0dhlZZmGNqWvxcktuFr
Yx5sMZEnq8YpfQA9LfOvlU/RY+SWJXA21kvVJo5rcYeXZn53vaVut7nt0C2bpAu7Ba1XounAVRsC
YyABFi+2WJWfCifWVzBrcHF0E63rXyVOZderjglR/J7q+99W7f+jHNpYHk10iZ/Ejn+IHj31/Vv7
lsWUx/1Jjnf/9rW/S/K+/M2wTd/nT3Qhu5In+psk7/2Gjwr/idTdyd7fzdqW/M3G0g9UC26jRYMc
P8hf7Vz+b/wf+L98z0Le11/1bwjymMX/QZ6x+PaYpkALAIj8lUcZh3PdOpZr7qlaKPI9C2S1rA2q
iPdUSDlviFbmnWRwWzV1ZvCc4nKFIjK75s6ykViU46lzwJZ7nY0sikMMMOu4fsKDQw/6uKw9YCEb
+LH5kQ6y8T1Ohv7Ikhf/QNrDtQYCAHJlRdnkchSw5DJI6Ilxz0Ld2pV9s+DwQF3NG7s/pOXAT+Fy
0V+lLv5RI1MHUdbtj6gd5zU+ySFcBYXe8eGdvzH6IUFtNglym8yFwoMJXpjoanZfJNuuT/0Tri3d
TbO0GMlSsY9TK/ie6lXZymlmYwf7x95X82A8sItLbrPabfa8M96msCbyiLgjlishYaQYAaESc/Eo
3rHyqEpWsYm9H8gIdp2IW0XhN3axiiCsqzXyBt2lGDHvsDBEG7epqwsFOvW7QVb7xs5wgC3uKx6u
66XioMns/LDMOVl9BnNnvosZA9eOPVw4s6852VpoOF6/s9pkv2CTPio/nZC9kB4oihdFfV37k0Km
yNCKe1BC9GjkI95hKg1IS6enNptApPmFvQlLB5eMX6Gcx8UcMHMFrTHyKDGrN8xV8/XctuErmwbn
mC5+fVk6OVQsD4X7mNtpc9Wmc3eYXGFcT3FMtxDsgGgz+z0UKTOQGcrX5B3GrvGAjg/j0wg2kq1n
5GQseJeRILjQ9Uy+OFZsgb91Vk/8NHPA6fGbRnVKqbwvKnfNU2kOoGuiGB8bBK15G9pF8j1xVbs1
+K08BHEFc6ty8CeiNZSv+DzcW49kLYOUkb63dfW192fvKxFYb+8VZXZfZPZ4oQLWfQbfk6/qJDbO
ZdJ45zQfok0j3ZgL4nQOqyk6j8ZU7trGEofAAApFMbF554ncgMWZFFVNexO/0U7WseUNhxu/jLPr
fLLJKOWZOXGfLeR5XtpqXpE49Z57BjVz3QUqPlZNMj9MCSbHQnXyYkp9NYqcenzDOaoIHXFNs1gY
7cds6V/JF6lzWAZk0j3DekQ5EfEKPJ+6tWA0v+Yuctw6S8kmrKE0OM0NvSPEr0IF/I3klQedK8vE
NrMUI2KoABgBJppIQwu+Tem46kKaoni20SjZPAveiiaDv76lnNFjM0aVw2mJimZtUfR85aU0m4rE
8G95XICkyBIzuUljMrn+YucX1S/9eQQRepnkqFtTEOAegqWSV3bWdz2ZMFl947CMbo1+pi/QlKm5
4/jvuKN4eq1ASe6Jaw8nt5LoVXzTMr01Kdu9DrUWx3lGW3s4lTi8Zb6RPjhC71O+67WS52tNz/fs
+hxrnY+r4xSuOq3++Z9CIMW5ydlMQ3PnVez4pVYMjU/tUKuIpdYTiYYUr06da5ER0BK9GvNT/SlB
MnSFj7ItzHepFcpQARikpKN9cMp62iRayUy0puklks/WrJXOMMrVna/Vz9lxlNa+0ERrkusbHqlb
6fUHoXVTr6ILKWPRAXUAVbX3RHORblBcEsdznhvhqmdi9tUPZVG2uFqmyjyEWqf15sG8ZTfqPMuw
YZiQRLNPTCokp2HZnyDk8CtdWtZHSaPWppIKIHvFVlHUU/ucaK04+5SNc60gW3KGWqNVZVPry4ZW
mmld6dYNPv5xJSBkPiBghpRUaHna0kp1lZXWOSoSxgKtY/ta0ZZpu6DzpPKYtkPwUmrlu+nM4b4J
2vDCP4bHWivkidbKC62a92bZ3Jj0gd4QNC8hH/bjzpZm8QrzMXgNfK59g1bhTXoJNpNW5jOipTQD
aLneFx5aldbw5aecT6lJDL0Pjb8eac9gAG+PqKXFpda7ABz7CAiTv3ZZE9R6X+BxqhVh9Vp/rhLm
wbsn74HJii2DDzH4sdGbB7hUauO2jLp9q8ocQdts5NadF0pPjDxmedHaSu3EbBH47FurPtee6DU7
hjKogeIpXHF8Ig2zPDiwD1YFDlLbemnB1DpDIq5lNR4K3RPmJdH1JFrABNm0lTP22SJF8gzqot32
raSKYmKgQpzuk5mLr2PlV5nVd8aK96RArBtKn40WEWKax/JjTDk8fxcZIWdPBWJe277iHOfJPEBo
WvvKmuoVu1v10HbLvBnwG26JQDq7MijGe0u09C/B9A8Ok6znbYEXBVluCgjc3GO17Fc52MMLI2r9
Xg9WdggDs36nery4mmpenpLf+ceCwBe/sbV9HUOV3cxVWG9kV84nqcw92OPl4I6kUUtl5i9yCr9n
HFp5Eb7Fk9eRrMy3vCri0FfsXO1o3ThVeMQqX60nW1j3AF6GKzutjAd7HglatSKdCEeVc0/SxUGv
dmKDrWg5SZrsExRy0xAfU9i6V9Ks2mc+H6yh/Ho4WNDJOWaG6nvRF+PBN2vvqjfr5a2NYcgYcXkJ
M0ndSU48BR57+MAbUPCamrRUNVnrv/km8Em7a+IbGU2kQfPZ2kTdJPc1sPVLbpXGuUuS4kWxOdqO
cVSD28GtReEIfLGD6YIfXWELAw0pCHCEtFlTn5DZDUN0S8t25KtkK/3StfdumcTH0i7FvRdlUbKN
J3s8lNM0GOzScOHvRVBW99wvkvI6j0ARbESR41HiMbCOj0YnFwCrxJ/UbTBN7ZWimvIOT3Lyo+CJ
Q7+brf2BE0vpznKTJ6so0m3KdZdebSkfO2/Md5NZssb1qTU6FMBxdlbK5hwanrEll5Cw8jETYn4J
zB5P1fedUrcCI1RZI4lNbXdsweluBnrCV8StMsTeTq47iEXrtlPTd5VM04eqze9d4rSvHp5jtx6R
FBw7qm4DEbmHYRn6w+IlybqsLHX2LD2N1gbNfrbZbqqQWJbXxQWVORxPnTFYV1bjP5qLKk6sGmju
GYSunKICGSeIBCneRRsnd8pd3A3JKS1LddvLUOzDSomHPoMmrxzpYg4t3WuXFdJ332qsHZ9R2p7i
xeJtGIpHpi33OrH86GIU8bTvlrHfiRRSiEu/2kNE8u5slRyd69RcUhZM9PetzDGIroAqjixy++jY
Tl7zLtNx2vpw+S5F0g5bQ1VYCnhEraoudW5INlJclIc0tzfY0mn7GajGoRd2FSfM+FssWkjG2agb
ghLlgSo14l3ae1D+hkwJjHKVffL8dkRdnexDMbnyIeyDGJ+94VwPpJ4ODruSfTYr+dy3UK1rk4RV
hkp/TPKwungqR6AZ3MXEz2eI5MVJ2v7QqKy+Nyyr30xmEt3iJvWwWS/2MwddzucPuW5TJq65tZWf
XSWy8A9e2A88Wurywy8z/9rtnPxpBBezd/vS2DYs2A9LZjtHWt5pvIJOxXK2lsQfw4CjZmadwG3A
2iRGOZ07o79zjG7HPdU4g1BLocC2XwS8D2IF8c04i6/lqOKVFVXOk0Wty8r123aTVAwtNfUgQOKM
6ap2KPpqwb63q8nGHDR0FcbXocCrxC8G6nYBK/UeZc59NIicbuaoD/kbTKBKQvrkfpos/4mDwPwV
iUUjx5/nNIbIn+PeWC6WVBlJfJjUkK/g5mUbxBbvil1LAi4YUlJaKvHUBOb06EsZvGCqqW/pIIpO
/mw2X8NEpQjNXPBXwjGjfTzM9eNkIagYrBw3mZclmwII44WltxnzoU1MdDveAYOKHa1LUp/1gt1M
CC415UibFr099ejZWziSJx/sybeI3MsGXnJ1KxCYD0XrPg9NJ4+CmMg2bAL5Yg6Dd+rpgECGAW3j
8bOvUR+dG5sF2S53rNbZUPW1HNvY8165qUd73PaYBFL1Vo3OZeiHB5sbCvxx4JVI4vMGY8B8Nw7l
OUyyhUqgzOMG7uPzNWQbEBMY49jd5VO78NiOWue72TfskoTN5mc9F1wKt6OQ1ZfFLHJzUyd+xiM2
dsczrtP5GDfcdld9BAMKotR42+UL9DAMm+E1DX3mD2cwku8o9SPefeFt8cKa99WSzQFdBQ02LNit
22oe3ZPdD+IAuzncdOlSNaxjh2RBlzGmH2M3vXTYOCmcdZIdfp185+AM3wFJZNFVf66dluQ6VI4/
bpqi7RF1HcgQQzV2CLJLcrtkJSd0XJpXIfPrJTFaEN3WNCb3fNADVgeTOpqVPR7BHeU43+buo457
roKFUhP+Ca0IDdwX1NpvWICufSkIA+t79vh55c4/r9+IWuLEKcylPK1Vt+WFNHcGs3y+MlQc31r6
Jm99Xuox3csr5Htu+kYKynPQ938l/P4c6Jkg09MBu+nkhgiJiS4ckSTrUiVBMAXdI+6c6oRPhlnD
5WbGw0iPINbnNDLowaTQIwrrcaaVUA8uqo05rF36Pv1YA56soRHUy0PdDT5HHv9z/JFeW9aHvvGm
td+68mpqnWA723XKG57xixtox3/kSO+tLg2TmDmCMjphf7GnNt3P/gwWydfz1tIsD3Vru5tc1PfC
TJJDLXjBLFFX98Ug7XWFBr6m1mQStJ0my5U3lc1pjBnS7DYEQTukWIZjn2sYRahUhMaRIb+YjeOs
ScJZF0jr3nPDewAHVI+MmR4es885MqPRAS23RylgyLRLwH/qc/J0P6fQQA+ktbSyfaOH1EGPqySQ
ozO45zMk9JiPLkNtocdbfkg96DLytnr4zfUY7OqB2NejsSMi/2tpN1+nLs2o72SAHvQoDburfC31
eO1/TtqLHrpjPX4HehCfP2fyXI/nhR7URz2y93p4n/QY339O9K0e7ks95i964E95SBchJKwefhKd
Vp/KQKZFgkHLBY4WDsx+CP6FJ8v+lZ8hbRRYW7ou8hscjV89WV0QWAwJjdjPvW9jaoS/gn9+68wi
2OLmoj8tsJyLYfdCrmSQUCmaDA5bCk9+7fw4LjF3eNH3eRzUVZHbM6Y42V181LwXLgbVs+XX5yFh
vTAYwYLuaql7tseA7QpRZ7ynqTWuZm/ODkbP0KlbpaW3gUjoXXV+VFbbfuansgITbAu4L/Jey8AC
uehdtsqLfpBln8+09PP5tnw+6+zP516sH4GBfhj+z0fQJ3TxZxPb7ycQl2lTy1yeo9Xtn0hFQdtF
sz3BucLC9bC8WC/Nm3hp7tVNd0cwo7wV+b9ogvhE6vzyHeHEsVGzacph/ffLd1QILIXbJ+F+dP3w
ndV50q9bO51vsilZTPiCVX0CF8SuWEZZ/C4dOvVqO8w+FkkmbTXPSbiDdz7zXnrcqLdLaHGGm1Xt
GXsQbeJL19fuI84djjq3rBRsL9vzwUNk8FympmpIC8IecCksPXKT4fmEnLLCQ30/QADfj1w/ERsK
jKXg3EAYqeZE7n55xUkSHjsV5sdR25gpVRZPBIja89CX2V1M4QcxQBpITyMX4oc4cJc3WyUUAOVq
Uhv27e2zHVn6+UUr8ZfPt/F/W6z/T4KEAUfWyNn/3j1/9VYUw1/+z1tR/9+/nN646yftnxT737/+
d7XeA/xFFQi/ddjUgJ3rprI/DPQW2BWc6zzkXf7L1ZDqvxrond/4YDto+JjlA/PTW/+HXm9BH4Pl
ivAkQY25Lo73f0Ovt12N9fn7Z0KQ9CHmYfzDpw/dM5IDlu99EZL3EQK/7Iphdlmh2ow39O651TYI
wyah90LFXA86qvjIyjWneRrDYxVF/IbGnnPD9BtvjHnyNjm6AGUaVQG9KsRNWotIVrvBkeMGWwc5
utDqqPro52MBV22VE0L5ArK023tYyrZdY8QHcjzNrRzM7EsEsYRYchXvC+1u4JKawcAIYDsuCsuA
dkEUZUwBhXZGkBFI3nztlvASwsBgz7WJotN+Cl87K6gmKnbjPOar6tN4obQHo/q0Y9Bx7p+XISIc
Suyz/xF9WjfwEJuPVJhV9/2MlnpqmjE5za1vnmtEol3oV+F+xgxCU8Gydn0XgwjZXgwzFKco7rI1
Ur/2kuQMS0TN8Jc06QiarCuXr0Tc0i1uP8gS2pGSefH8OGRIr6cuoq5tHfzuYRlQNkj3FM51qbla
MZ/wVQXI6uSkXv1uk7bFpFgDCIwEVN5Px4z2zlRpmX3hqlR/iZJgOBjaYwOja/JYwsRkLbUXZ8E/
iExIBuobdJDwyuJQN/eYVrghYu51jkqM7EZYdNA6Lwpvul5sj2gDR0bwgX16OeSk5LXDQFAXb0T1
m6gT4GCmDeBCFD2FxrqTNFxS/pSkjmvGQ4vieMKt4lBiqNySxJKbJYcQFut/k30RfbFRMpj3mMaL
j0bxLmxMdK5nyJEM8X7Q1NETh54/rovR1P3YLsM1XVoF8xQHVXRbuJ51DIomvjgmRhBZA77h7a6U
ycuGSL5uhni+hBF32Q6379bmjzQvLT/i25BOZHgdQQq/nBsHc5vg6V4SHtiFxNTNFZ689hjbYt4B
8Qw/5trlZ+rImRPclXGACZ5flRjtuzHvPbcL39ieZj7OcsF/THSRLQhyQPdpmcQ200g9XdAjYnhV
e1eZ9FKulqCWyW5YuDOahHLvEzuPPgj/x+sprGqWTgm5RKeSDKbwQXoWy2rBAxSA/hkOqS+M7zg9
57cFt9mTxbd1NpWQ1oeBi4+PdORUzWYEeaZWYD4MxNWkq8NVPeb9iHu99K0NF7Zak4TMqgKl69gE
GYox3JkC2uAlTmgd2bBGR+ib08nVzvohjreojs6DlXiZWlm1KNjyQFCjvlU2PtI7ktEPpUumRZ9I
ymYL7hlYLmh0IUUZOleSChr64vIguM+n6Ztp4O6dZeV8s8uF9mfCEPcTS4vzNNCasMjGvvCi4IGU
fj09TyKN3th9J0cQmNmxnkNonOZgFSvg3MGtBzmHBElX8HddYpP7o+J45cXMe7DOC3twB24lVyaX
TmnwSMvArkdgKDdrAAVjHfxoTXykm6kXZOa8JH5PmJffozAdd24DZ2jBvHjhPiau+tkpLmngEASM
WgGcypZ0vIiWJslV71lFuSoWozrnvEkkvqvolT+kOKSxYVy6lOu9soNXxs96i/DqnpcRV5A/tA5o
CD8/97PlvNIT5UEY1a5Hr0tJsvQh0nrt8ewhl5mNa5kxha1HLBtHotPVFQH5Ot8gkfCusRYKz2nq
TYfZTfxt3OJq3k61H56dTuaoP8JoELgQgWodVTfeSIcET641FFuirgHzZ36HHoKnZELMHW2/3DnC
n+HAO0P96DpjcCrqfFpHtp18q8zYJla8zHjwBmNvaQ/9mAJVcrrEZ+VUZQczEc4md2K1dZpGIaFg
taj0M72cCbnTmw6nKprsr3nU5fjZ6OjYOwRo2ITkyY3guXddGK68DTqWT7ETjqBz2+7e4Tl/aaIR
0n1b+dN6HLJm76rYvriDnT3KTsQ/pIcJBi5GNm4hfgcncNKwgZAUD0PpqH1pR+IKlyUpR2WWFSIl
yalNrYr0OnIKhD1pqeU9EuzJ0qxI7gucJkfSy3esn4J8w9MSygWBaPMr53ZwqtoMd53jzO4d3XuQ
4rsIFG0TGMWV33dzeUsObcIMWcUfMMCie1xS4SMVFBlqjIGrMlIdjriutVF8WQCronC/YBZiRWss
PhfyuTjYNhSNVVBKsStZx+NsGpV3V0yWd87bhYHSWtR5bIUNsyP2sHqnMryKoGCjyUeKGHCS7CIk
xmMvxgj4iOz7nYfWcu94XbFNkpAY2MIS4wd7gCS+Mb1xeRNE8/XktTDTGlnlrFNrms5xklL0MYdk
4wm/nhe/GL+aXQQFygaPtXCKcbstKv2M96lMTMIwW9PUUhK1suqbBSgde4KgMX9YcDnJg/L4JRWP
Ld/Q0Mpm8LtvLKQowVtK1nmqEVeLvww/ChzGu0p240MbcQyt4Jhn1I9EPjjQKHszkwCyZam3gdzn
DbzxlGXuGIytddS61nEYbBpQutobTgCz5Gks2MKAHhv2tZUm+9mueNLpgs1jwkBwrppwuqQ+XPt+
wTHXuX7Dq9k3T6Eq23XBcQJGcg4P2VR198ppCTtRT/XYpcF4iUeF77SYOa8xSJ584d4QvyuP3Shs
LgMowysvdT0EDTN6///+hk69HleC/zHhuq/+hET621f8cSu3Yfi6QArB7kJ7+Lxg/+1W7joWM6nE
r2P+meHr/OYz2kM+Ig1Lq7L1d+Sh1KBEhyDqH1lY7vL/xq1ca69/v5MTa+IHM1zq/8CTgLj9NeJk
euDrnFypbRohkU9cv3dh2nOn0f30Agv6v1CD/zwD/PX78Q2xsxq8HprR9NMknkdWlwE7UtvFppt6
saOPkYsIG2Zc4z/NSf9Md7Z+hTnyd6PIUw81OsH1D8Ux0E8giIF62JrSyFiDOk69BiLDMtc06+ss
pFNgWKx0n6MHb6KmDb67eTVeunLKWC/YA/swARLDmFUtYBIxldDHE7VfqJz11CrxXSYSN5KgGs3u
fcbdT7+D9EL8QUh/EUdxjqKurOoHQVqiH2ydHgu/ZSFMg3cjT73dGpck59kFxWcJN33q2T8QSSqQ
PSql9r3Lh49h4jSJ3IRu49KDahPmy4WHl4u02yAxN2B31iRLxrvUXcSp4YgZD409ZNCX44AfZfDC
8AvUTTL5ZtzwCE+i3AMHgZPEJp8mvH29WLTR4hUWDT52RVNfZ3MhWVne2H4UqWivvM49fvbBy3Ew
t4Iuz3J2H4mnZPUGMSi8guSynBLTKS/TlJ+n2GR/GFJcj13yRRSYJKlbvUvtpdyXjneep6EFmMgK
s6lbrBiBaM/4J4gyDTS0hQZu9VwymWyEyxaZyz7HoZioZJ+7F+YMmjQI0W6YlbBUedx6p9G7wdKN
lEGYMo4zmAaSumsHMQxALG10kakxe6vOFPdzM27QSXXWc4r3ONRsaLfg0htJC1VNXWFImwD6e/QB
1z9YOUPK/6DVyGN7dehyFM8x1y6dmFpU1+abm24BJNk37tTAWTVUNH3KMnqLzOyawrdso7uZVciv
uuxyXd0k9oky7qqsZZjiE5ZZMaVddvzQS041qm6/O0N4lpl3bKo0X+fYCowao1OiaItkf3UXWhkc
kkJ+T91iZ2VGsy6Gfm8Z6QdFa9k2C+nz4x/G0L8B8/wBevNc9NFVVNOnko1hQxt388CJtBcOTe3z
eIrDjN21OMecPVuI3vzeQbXmIAybJjqnlq1osII/etv0zo1uMC7HtAYqwmlmqfxkBNMPl0juBk2P
+F7Bm4fwTWwoojRu7FWwpcsiI3pHK2YCf2Q12P6NidX8xgqnd1BbXyZWFFvHVPA0rAyaUSgeQys6
0/hirBfLDhmpOppiIPF/NrdObnSKwqzau635khkBf4HQh33It8tV8h469j6l042rueVhraPntAbW
VBh8a2R2cWQVNmKLctSaNxZBayaPV6mZs5fOk7Dgg5rRwPnY06IBo9B7VAZ/05LKuLHkfbCN+h18
cbX9f3tu/qfihC1spZwQ/7389fhWJPlfbt6+Dz+rXn982e/nqw/mwbEs6A+B42vXKdrWH+er+xtP
dg5fBFhOTM0P/KvqJa3faJEMDA5RuIOcRkhlf6he/m9IVPhXAb2jFCOb/VtI4V+Zg7qhBNyxZWLA
MCg7/CVCjOPOH9yJvHwS1ReyciNtdM1rYVt4BJZ+hXvtyu6m5TBQPfsvDkAtMf98tPOXwmbBHRh1
j7vvr9VsWdiZkO2E3gR31FQvdXmmFj4//fR+/JNjllaDX78PwEfXgdlhcR/nW/7SNDkJ7InKq/Ot
zMVyYEtEErqHQ9sy1Kz6AVDqkqekl7ox3g+1kZz7ShrfyjmItkE9xcU27m3UgmBZppvRASE/LZNz
KtuFonQnAf/Q8tlO2i64RkqgU7Cdx+oQugsR19CosT/U3t2I+pld1wVL2cZ1H62YKQ7iDn+gh9KO
aUfJW7uS6D+D210DxsnA7Wf9GmDDsuNRUfcrJ++sG8+mTE8SBiIiWFjLXTtHJkHmTjziAQBo61fB
rbIwrnmeZV+z5oQHJsT8BLjR3jYetDeZTqgguTvszdlwTkGGXd/B0XBcACRa66kVgqPYi0V2sL2G
xmyncelbFcmgjgJPkHVqwLDWe9uzwj26Gj3WIiTbX8Wz/+qHdmqtM7M278FscyQgDBFi7QWvWmfN
h3lMu3OPNHBQWRMXd4UVjT+KcDZYiHUcQuzLy5nlQ8mXgvtVLyqKWEAKXxUPpdV9YfvocGhyNAdm
f/JL+xQAiztEKVUpY+sn+7QRry5rIfCz9sTUN0wN3MVuAHpGkDE5uYxoOFqKaboZ6mbhzSKhjXmy
2OfAq/cmkGOdY/Crc8mq5hjnU3Gwxlg9RlaVYttWhLrbgZr3zqfRdeDt7mRmvOWla2xdoG9Ur3nF
tM9EcFvMDfZt0pW7rG4hT4psX2HRLFdg9DmwRecfZN+l24DPp4O4MuBgTVRM6bJTIEWkKqx3tch5
+6HRQZ6q7SOCLM96YVJBhX1s4/ZD94ULnv8F06lxXXPutahEJ182FsWD2h4XJfmaS5d9bdFk/Di6
2kLNgbxRXdVtLYPIqwMZHKAILYYr3sHukZRxzsXCabMHP+rgsowORHJCvFStxpusaiRIULIjr6k/
WKxt6MrBATwYdPxm3ZjwaZGgKHZwJAuXExgddFcQb8Oy61nvJYM+7hVsVYx4fa6hcvODAmf4Y2Gw
f/BUFxAN6EwsnfEgXlON2E+Gwn60Mtz/JJunxruxYYMRyJrGqqVP1KELVAqBwhHoTjp8HIzvE+3V
1bHPIvVe09s1rEau1OcUU5989cnX7hdkYcAW0m/4XLvpeze1GGqBDCPKDfljx2XxUFbNsSsT5+Dn
6mPpgWsV7QS8GXfXR1TpQgM2uIc5cpLrJhvi49L22UaG9HPxclrjjRvE4JcdKqOxYMn+ieM9+JaG
Vngk3U/VlpOLdYllK4b+VDgH7kpps0lk112zcyRZYpXtFyvMqewYlLwxqsV5ww7B2llVyYfpSrlV
IM7v4a35D5UK5FsRLe5F4tkisc1Nap787ilMqSTOx844E+gqXuLUaZ6r1LKePBILx7hTAbCMuQ83
qPPI9QPepX3ddTn38xLVh8rvRLbfcBSU0Qm2ZUQ9bZr79pNJghbZiq98aZeQ6vI5/ghDy/UO9mwA
TJcxII6DSXWZveqTdN5WLjFbEowAmZ2l8DfpAHZ8HRkAttGFKYntpKC9YkqJePKbNs2rMoxnHkhe
kABISXgak7CGKxJnuosMogCkRlDmuCa9xgvOfY0XEuyK7HaNnen9vzD9Y9j48tURTnAZ2mU8YnYK
v3QWIPhNKkYltLEngVkajnxsxkTghXQJ3bEyDtQpmh31PKRl7x1DgrDhpkkzup4wqcKGoIZ2G0bJ
9FamU33Tt3FnXuGD5kov5q9Mi6WJa4kXphxz8VAOVv0DpXQ8dgvaOEy1Eb/ZgIF0NY9z32xc3Kcv
/PIv0bZY4ISv1ZwFFrk6ivNwBzSzAeNgxC1YeA28+aFv8FDaqpZfp3q0NmMfZ9guY6PE1zE0/VdR
qs7eelltfwFxbrzgy0nWRrOY3wiJkKWwF8Az/dLuDKTFWzW5wfcORfLGaKYg3Vtg2Uv2LUu4rOH6
VPs5QgZf868lp4bkSEWRlWc9hlC6yWEATShWld03hzlt+QGKbMkYLuNFhStFbSB4nyxFe8464pk8
M/EOrOJlJotWZTMcyTByBgJrNBZMOz9jlIWpVoHeNvW5Q+NN9czR81/sndl2nNqWbb+I02CxqF6j
IiJUF7Ysv9Bs2aaua74+O8qTmRJ3y7rJc76dttsxgYBVzTlGHx6OBwq37TYHcPQlDpvpIq4i58Ar
wzga2c1BosO/LAuPBY+tvbNRS6s5E5I5WwQCHYFwmqfZbenVIFEkw6Egc4Bi8WjcwmWkfu+kln4T
dZ15rUlSFHxAsJfpWPXMplNwkTpl7wZxC9LcAo9IWZogCkqchR7cK1C5zB0pKOQRyK5X54GusElo
KrH3car9isaU77YdgXvOecH1n4rK4M2EqC7HzEEPjfBn9ltO3gTfUtmRuavmzR14QldvzOEW0Ilz
P8W9/1VrDPpqAtUljUqO/0UgPKQqqYFX0anm/M/gprZqhq0wFfklycsOwgU6xiAOKwtFLvBc3I6m
OnHi1dWNLo3qyp6CyxFCTVJ1LMioylyp5lhZsVA8wlLurymA8I8DWcbXgk7KbQJG71oOmgknxVLC
+6EB4zzKRuWoM9LeoffR5cl9SzwfUlWoruzJDqHqZzu2yS+yo+bdm9VNPPrqJh09vB1Rwe/xD81D
56WogfM+d6fYFJD0i+AgC53DF5oh+xY6iMM5qdb0dBcTLJVvcrPIL/LYJgbBkT0efz4q9kFshP6k
QA6vCT+i7o6EbqKdFlGW4LgH8LHvuKGTCFKKoiKW6ias2+o3cHi7cSU0gBe8UBUtrqaDdthVRXG0
OoHiEXme2NDRCYttlFqjwdQKBGfjaPhGTuguKRX1/sRuLX5NQJBjeVGPzdRyLJ8jEizfYD0s5uQE
2kPiqS/VZE+NFrv+vFUxNw3OwhRoog1KNJpzGKY5kQFtU/9Vw5WDKrsL47Nvw6vcNtR0ZwINmQ6Y
d2s07K9RD5wYnduyLqbrGPbKscrIhIjmdAgVbDIEfOihw2t4xPAaJBHTsS1O3hDO1aPU5E46JvBi
6zuJmN2TcfXbeQ2l6NDx0W2esyqM/4ytqAeBqeU1zkIdciQYCh3T/cjx8zKISL5oXkMw/NdADN4L
vFWg+gRlaK+hGRTojfqyeg3TyF6DNRCrEbIBfARoFQ2I0bvxCYnIdtFrKEfxGtARUTFIdlTKG+Ng
jGR4dK9xHq1n+eo+6oTozo5ZQlzBocymI09Au3awTtn2qMSUW6aHiRXdLaiOyKnZrREqUszxIlag
mk8M6qg7a7LSL9I5iGR6zSTp5niSsfC67IJcAtSHaoixeBMPJMEQSudUbFkL4gGmLFF+2EoZDjtP
wbRGVYZt1J4OyozQ5OTQHRqso8QHviaowLDznhJilL9WIwcfsoQa0laMpvdPSV5hFqtK5beqRd45
fk1nUVlVTuPQMxXnc3yL3s9JLiQCNk+87eIKwSIlmWkOfTHm+BevTgRCbZ9UQsNrLlMKNlioXjNj
+NP3IzfRbgdTDtdFZ1DOArruEZrI9gj6g1Maj40qaDV/cupbJkeTqSQcVaMDjaqDGrLk0Pu2wora
ommTUDZ7T1OTE8j1n1mYPZRa8U130geKdCysFlUnNpnf66ib7v5+Hnw90S6PnQASOQuqnDvJA3j/
+2gNO9FPst13fsNprWtpyVv48OyjDCZ66nFXpAKFWhb8gmivzDi5WTynQYLGNTEap1HJ2kuzSJv7
OLScq/mP2ZoU0K9xRY3fhGALH8amn21bVqzmlg5Y7h3+rx7z/5MAIUn1okPwcT3m6keAcbgGMf6u
5fHvf/ffBRlKHdRWOBHY1Abm3PB/F2TEvzjLzCA1AxewJimt/FdBRoh/qXRBUCYRvO7QJ+Af/bsg
oxn/AuBpkMykA/HUkSP9bxoefILUdt4VRvAkU9tBE6jbnGqkNfdE3vQgRDvaQyOUgdzkQnRHE448
OoQaJvYUyD9+3DBuG3BR+m4AmlWRzNOV7NeQukLyZ0Xew1232b/XRv4tHaXjXNOAnv8fWS1e9BKS
HBB8oEKDRFZTEQ2HM4OpOth4NDyLO6MKwydFGqH/oI6yz+/YCiVg6omO5pgvMziBVWZ6Yke+HNp+
mOqOjbXEBA9OyDckaaR1GKAckSIAgFXPPgtpq3+bNb72R4tyuUc2IRycj60DH6CE9x8HirgmMa5L
d1rQSyIbQo0Ahb4q+kta8lSljERFH5FV/ZndhmHvKiPvvGsvhVFEmBWZLPd2LL4xXYya2ysqIqTS
EqSC9p45YiEN2LhNAwLHS9nRtN1m9mxbEfGADIM9ooxovETBo7QVNiGISgKVYFaAMdD7ojC6qXVV
3bPbF1/MEga2ouqjf5hqu0uOED/6+FwNxUx59GtStGg/A7gaa+RcmyGy5Z1o2GduCxXpkkLeE40U
29+ABBI3VlLnlxocyzuIaMUzR6AXo2qmaFMPMekQnHONven0syelNe2NI5PwiauZB7/zq1tkLnZ+
MpICpTFrDynrCJDkPXbHyb/KfI/8Z2jG0tkMkP/qE3k/CvmwHMQA2CDDm65kYxGF5VtaARKIOVE5
ItyOnip76ltKYb7XXXnVQAWaAhFUWLuHc4X9Seu3oQ069NJWG/rYnZNA8crxjByNBq3yFjJW7JxU
YkiKi3hIKa/baCi6vcFx9SgGu2l2mp6LfO9Pgv/dkGkwUh4KkJSOcdwlcC3yetwHKXDufWAVJu16
vxgI/wqU5BgNuvxZYMT9kgYkM+LNrn7ltQeNkq+OrZ1KPanad1XTEHmo5fh12CvPWR5wQmkw4UlX
FbtLKSp55jmKVP1n4Wio9QKttaleQBLHC4BsdQQf5+dnvcdcj3Krii+bKgzuqtCaLeLml7puoWc0
mEFPfqsFZ7vvLZVTbFo82Vmk3SttUH+fnNG8cIz42IHUBRTPT4sHryJKErt42IhHqJWWuaH/h3Oh
VYvxIcz06VcaANDuDLXCHwaPRLup2pnKNaCpo1uYTUV3RLaQXiGxwBM0yDwud2rUpc+NMpU3Dq2J
clc5xUj1UXXinBxeXT6WY1CQwiRSEzc62oVmH+NuuJRNFhCQ4I8gbaIRneJFqzMnbGo/lVdVobVy
x7Z7JLUkSkP887kY9tYo+do12mqIy0aB37UMOPzYqvdVmRKP8koXb9Mhz34B3mmRaWFd8z05PDkd
w64k0dtytbJKn0cs63DynBqceG5UWynT/CJTk+6x9k3oIwAkmQuAmJ1DqpO3lWMMaNwcPTq2HeLK
LNRYmiO1E+mxVEv5RUvjmh137383YlKd91PTJN4dmmYaohZndnBVlOUOrfCDn0OhlGQSBDZQohnI
x+eRlI+hqeqnYbLm2BS4SMoGCb6+kZ5lJr/wLVVnnbADbIODPX1tcXu+lBwyKcglMOjdgBWHUPoY
2IhFxOwe+lR/HZS5cvKkmGEMfp70D0UfkmEdGCO5YQEnCnjwiPW0sym84tyZRdK6w0gpe1OjlqFz
pUvqq5PHt7o1KP0+ddFo3XAQydm+hsp3zfes7IsdwS6Cgc9A2Tixg+RQyQ1jZ7EM2i8pbllsIZPu
GlXP5xk8TaGi/mQjpu1taAV7cqAraoxBiVHPNhWm8DmiRAv5SemH5dGUtcEYdVDNYwzzmzNJXU72
CLQfgj/wMtBBsvTuEXWoj/4Y80RN0VvdPjM0/F1gDKI7lT263NCL5kQ1NzaVCzmJ6IfZ4fwmaAWV
4JXUqTjYPlPOFnRnui9EqJqbqa3aWyxI/qNmM83tOp9qGvNFiM1JM0q+RMfIlPng5fRfHE4JE/OV
FmJG58mH+6mQ5h0uS0Vsk5GgoW3YZrCBzHE+2gmoTffhax4Kc0MeANgIYUEFhBiKU2iLWcaUhuae
XNjY2WpWOFzETagC7KQQf2ozzT8NQ16E2479AeZSBVLdoSkN5wj0Kvxlgg9+IlwJDD+cfngMZTi9
QPVD5ZjT5DFYH1o73/ETTYpOK5pOWibj+IhFD6xlCBdq3HImw8gDQ4qHwOZ5Ax4hjW7reBrZIFS6
/sMuJxY6m0L440gIxlWuFj1OwHiIa+SgTK0O3hdn01l+ej1QAb7X7aD72iMpwrtNNNtBVTgdR6lq
w7uz27q7ip1pfOwmsJG7npoXARxxVRYwKIgytXo5HqnbaxC6qPHR/eyhx+LM6mHwcfbNwSBZNlao
IfBuJArJ8ShbNMi3o212FAR6K7hS9Mp5No3RuIsEogAERsPGatL7NnXCWZLYBEAzcPfrTHI7ZBDK
ESsUUVHt8DMqkm4bFsyZQgUg9Z2oFhsgh5jsJxwg+p8agBi1iiH/ESuTFmwpgcQndZjzsuYFgOpw
9DDKCDBi30IJGas0guQgwnulzKyzVlqqcDudvL3Ux9MDJLPaFJpP9YzyXbBpJ47FG0kg4dbiaLwh
dQhSSTmRNqHSJr6XiZLG3wOt8S/NuZxKvPB0HFK1pcrqUPQOip40l4SbdiM/7xGZaiSnN4HfXyhB
78utavbNPrPC0cLbH1rXXalUL9QO/F8UN4LnoB4fFY2FFUGyL8MtEoj8EA6F3KVzVYeth8WBrWIu
qth5TaI7yawxf5aEpAMJzhKhnLsoOmmSygVFUPuONgJMljjUHucm03cDSkN+rUdl9wc8TtazN4B0
dWM2HNt3QdQr5sEQEyDn0S7QRM4WtmMu4+GnL3znVy+zsPuaIwELCVbW8l+loavVXe9hednPkdjE
D6dk9l2GDvoJgriddqRi5hW/dD/pqMRLEXQnD2yUyeocCyKztJxslizTu4cS+Vu347SbPhDpAhMz
H8x0utcrkKp1EednowJcNoeojHejhQkciWVwpTVDeAzhUajbYKiQxQYsWU3SpMXWkgGQAgGHEUQK
VMTbcKoCNKMo5rJICXHY9/qNKiWM8bTpcQ3h+6YVTx/RoWrKWs4e5Fcl9eGLkUHwwIAtdlbuC3bR
uf1VUQDgA6JU7eZk44PNflDrdGibsTV6BDEFPLErdWqjsspuWmD6X9shMVEQYgc+6wg8L2uRWygs
Sl97AoCtfTXZq13XjeG7TtL5coc/wExdIzUhZapER2xgpBfIVSj6vrBAJjuWLKA/iq3oT41X/xBV
6SGh7pKE6GtBxlgRl+WTFhqIhzQnsBRqAy0bDiUcs690QfzHnroasWEmtJ3ZtvHAOXgwgNqg7/k2
9bLcOuWU9C+NRNcrFcls7IX7gT35D22YAB2PwUMEhO6kCJ2ZvxkM3TnTb3bMozpp3XQZa0lMjS3J
2ug6BP8hdk6voO5VJEW6oyhqE6CcHs7cB9YS9Dca6cuHsGwB2VoliTot5brHuqwzkKjCFw/4fLRw
JyRLeTDGxX011v493/50nKheaRvAmBqQ76ltycTi1A5ciQ4NfVW03ewKwkT+xs5GEEuRVYQMVHZk
nOqISKInFI1BR0uyQEif0s5jx6Cr2lWhl+2t7Ad8/1GxGVqkyCUZS2cShXLaa2a97eruewxLsTxg
MIm9bZBYlQPmEWMutfbmvgfo7/oCA3DBsz1lGXj1rW5mcX4M4cybuziVYbhXzYDUUmqnyjNVolY5
R0pBkbvVU+tLr3eAhLMIn/M2rTqYL4ltYXtjob325Xw4y606zlm9gQuGI7rvQ04eLK/QmJ4Rs/bf
adN45i7qkWFubZ53sZOwoVypV8P3UviUd0MtljcQcNVHNrjMsBHZ1oexrUjt1vOBFm45HszRSk6V
5k3hscP8fsWhwfbOZVSIn1EOjwLRVArUsw0maxtMDnWwKR6G74OYa8Aik1LwFr09tCaqqw5vDJg1
kptoz2AmsKifYiBXymRe1nFCVyHQVFZ3kn39owcXqdh1QXLoKfvjTvOM9EaobIbwRquhdq4dkP50
7moVVESoRJyqON4AGjDAqTgyFt+NhgVsOzUt51cCWOFzji1xrByUHHP8gkJBk6B8dCc6hDWVoa6s
jFMXtNpzSrb3rg6M6hgXTPOTgBi1QenMXEOY/b7KaAqmhu1jlEs5pm9RlyE6ToVZf5dKSYnT6gzX
pOH3tQptJFg+Xa4YjWOCVrqCxXEucwFWqkYs59Erycy9ndKk2bS9H7GhFD77Gtwsw41dkMGx9ZsQ
+LOj2w967X8JHJATGyMynU2eAYZIi8ma1X2qi7/FPo+11m9ssuNPxRAWt1ZHBn1RmahBWJuhN48E
YdxTe9Y2etVa4y6Ew/gSEezYHBA1NsB0miyZj+zNrwKI/g1u3py0DEHm/MbAFsUiPYzqD3he6g6U
kwY5VE73lOXRBCSheSnbwLyLCp+mETTEq7ybLnzLMRBHGXmBSwU8SCzNl7plw0NFDXGgyPoL2ucP
oSiJLIjQS9AW05+mKfg1ixh4xtBeWjP8RUE1PWEhSndJiFg6jdgh07K4lnhEz6mBPC7p8uLWZhk+
kFfif2dPkaIoDUfzQcY/VPwD+5DviI1+BvtgNLI9KBTjBK+yePCKRnUruwMR4wQ77Ou6qwFi+NUm
iobmo5InnbiKKbMxBpktYHuqw9khSiv9odK08cKC9P7TqWR2YVKL/NFWhbfDW5mmB6cZVYxjcU4w
IpNk/zK1JmbfDMb3tvYM+0z+CpuuEt51sqWBWf4wYtOm62KWxuXYkjeZD+zpY8RlboSX/Fh4I8f9
rohvezCT16ZBywcFQjJe9kPHrtCGIvV7jGoIxzE7SHpjqf04GqZ5OQoMOGadSc7EiU3+RazuBDv5
34kyVG5F8u68mHwrnbpFGp8b7VVtMok2ZpRH24IOgeemuUO8lDa6ZWLHbtagMdD0ORE0NovmC9td
EOAJHZrt8HrmGAoQSnBm/tioDk9GBfMVg+n0rIHNv8/gxQ3gYSIgSUKO9SabqYyAS1DORoFr5Mmp
F37hgro3b9oYnCoFeluh7p5nbHaUVB70Nve2vtUYl13C+bS1ZPmN6IsLSxtBQqpIdO9JioOxQZ//
joxQCkcqPd0tjpRvJYmC3zwyE9GUVNV1r/fangRlcSgwNeHf63dFJjWSG2koBqWBYhBqyrnAGVDq
I9CbwbpGc9tvZWnJi9EQGhspZ9oJA4pIJkhCof0WXla1r+w7FuMDtn62d6afXjJRRZjEGvspQ3dD
dFVVlttMpzkjNP+RbrXTuSGY50fTHOoDwg7Cs0unNW5s5CLmxo/M8aqHuLpnxh03OVCOw9j45Xma
/EJcDFpUoMAy8tNINs2zEtnqo2GWQKeIyKy/TJ3Dbs+P9adyiFTXSmOVtzqpxwIbBX0Mv9lbNbi9
czn0bEP6oEcvgo7ZlVNs/Ryy5AfcOiJMZxo+kSfp7260PJf5Ib8n1L1nO+Qp15BUbAS5/VMTsbC2
BJnufEBPuWsMRrcl2ofgzsS6Lgwv1SBGdKgnHWx8TM69EV6ocQVnW63s32qj3yoA67fgASY2ZN54
a0rYX4PSkAxdJwoOjo76kULkwRA1J3IGqE2NJBt9NUVqPBuxsgXFxUriIxWyyqZwR84be4X2aHhN
sOn4c6L3+SWOB/VPX7UK5wEHcsaE7sjEIH1N0FIM1ayDUcW1giMK65fS0ES9V/R6OLL1Hv/A0k9v
49oQx7IDpFWpaTPeqTF93HbMDp0NAAN3dQ2CepgMX7AdhlAGhCucYEhwaLlTdXyLG4PIUogT/9dW
eNNWeCF/qqnG+99+mGdv9ZrabMj/uKlwyn6F79oJr////2wmONa/pKZZTGdUYcy37gnT/hdZzppj
02NSEUHNusT/8jRbaDhnTaJJD0LXDQdp5L+bCVikTVXqIEiBcECBcsT/ppnwXmL5b0czrYlFj632
cErGIRvtQNs5xk3dfeKS+Oi6839/05nAJdWZNa6BfWMgiN9M0zg+BYKEijeP9x80mx9dnrfy9vJk
CUBDGjJgSlVZVfe9yfn/0R+m/M/frz83UP6nBfg/j2VuvLy9/XSKbUjQJpo7o57uCi0FaRwQIKtt
EKjS9ZN6SRDM33/soz+G1//2x2refdTP+7WhphkJgEv3qfqMpv1ZDNAHf8zsLnnzx1hOSXGQ8vK+
1Qp5pWm95GSsRiort034q6tYE9kUqBCL+1V/0JLqUdhq0VnzD3aJYw3nPGi9diuJGA33f/+B95rk
/349MwTg7V9kM8WpDZASUrxqqz+b9I7EtohrEVwSrBKJK62N25jycZmNMwtwJkOoWdBVx7///qJF
/T83sGgNswOsY6MeDVhTtNS2trBdS9c4KOtgtzal39M2aEdLucx7X4v3AFxzHCDwXET6CRHkg49m
jrt/+wgSf0y7xOh5BLYgdrXK/1hGH37y93108cWskDNSe3tsjD3ri/VNzcec7Oc2uvn70/vo6vN/
f/M9JmTEmDWUKTiXYfhbzelsZUpIAtW6yy/mBsqMRlFybN4njdV91fpSEl86WetmHnsxM1RJjwYJ
TtC+gXNPZBqpztUOaRFIuHW3v5gNxIBMd0wiZoOccuh2ZLNGNHTJUNr9/Qc+mNvMxeBJHeQ0EV0i
N01qKvFWmpbtV72cHPXcKIFj3aHL0c3T33/so3e9mHsEfaIsh7jgsiu3zNs6pCNPbkWj/Fl1fWvh
wquJQ+b0Dt8F2lWKokgqkOLCuK4+eRvzF/8PC4G1eFgEy8ikpe7g5graq0NfaUW3J8yS6lGJzdpZ
+TOL+USXuWcjaLTcpiG66Ai7CODelGnJsC/Cph/WjeulXqDMu9LTh9R2CxFPj3E1Bjek0DmPf38X
Hz2rxazRc4rSiCJ3OEMN4T6pKwsMrRzz8ik2bMxef/+VD76oJY8IZFcR21ZhuxXAp5MCJuDG8TWK
F+sur7+fnHIvHFUejukiFhYcI6NBPps4L/brLr+YPlCY5ZBvTNPtEt5Ak/jpXrYKRu51l19MHm2o
Z2MyRrYr6zkNOUEfomxqdQynlT+wGM+xoxilAwiBdJR0rgZptOr3FYlH/e2qv2Bpq7XEqCNuGEzX
4WTzFaJJfQuTm/brussvBppFHwy9j4FZVJdNeGwmHXJuEKe9um6IzSm+bxe3gU6c2SAIcePax4hR
p6KzN1Erq8/W5nnm+YcZ6ZVN9Gb1HP3IV1OEzC59JtjzkQ8N6TZVps48A79M4z02xJEAS5gW38mg
6LNPZvKP9jzmPCDf/DCRGJ4Fc4KpMLGT4gzaD/XdZoodtnU2fGtJIl5DuRe8hlmkh3iYfGBqEtvw
Q6dSil75gBcDdPRM6CqxQs3IInxKh6iK+zXRP/k+tHmk/NPjFe//SqOjD1SK0sGJCiV+P2lehwPX
m4CrFBjzxhssGPmfQpE9KAnMoMb1oOsiuxKWbUfkD1EO/ORWPpjoZh3Z2+eNNMQAxEOsFiFNtb41
J+d3MQzUnteNhMVITsB0ayOJLi6Rcr3rN4jZN75u+79WXd5YLMytVhEGRuvRRWZgPwPQL65rVUnX
TaPGPDjefIul7tN5UywMaQknmW2r2Sm0rZA2zidf2QejzFjME3VYUnobqpkbR1fyZMuqIg2v0Bhx
hDpCaMrCllA8MZmF/1KkUy3WvZY5p+TtX6YDMucjwtYMbS+FWEQBN6XDIJWVM7ixWKUn6m1la5JC
21Jwgpbe+bvJzD9L2/3go13yCU3PUYmvgx1etz6h2hlNOrMqok/moI+uvhj76BEDZWCrSvxsiCgP
q/mOqrVY+VEthj6nntzWABC7gnMjBWTtKaPpuvK9LkazRrAiXB+fFp41NldU8FSW5zLQopXXXwxn
IPNNoVfj5JI0BQagG+Kdp9vSXTWaXyGRb8abju67AMg4uY2Hkr/XLVyaqRauu/c5aOftN29niDI6
i9eqNFCPYxSAG5Pku3Xz6CvU+c29R6pSqYALJrfUwuRQO5mPBkdOh78/mXnY/MN6IRfjNfOMYJqg
/aElNX5z7IxJSWjiInNJUzBX/gWLIat3VkfQl9e7OgP33sHqNbeY4nXH8dfs6DfPp4EBL/vJ7N1c
khSJxbTdRWO2crqRiyGrNWniQc1uXchU8iJMUusKn83KW1+MWBZqL441vXFhTHjatiLddWsFpG3t
/v5yP5hvwEa++zANz68RB1HmKbJwOMcNipTW85KVg2oxZKmPKp1GpOwBzWZfP+i9aic3RmXjlVt1
+/piDUbi0EH3QoU5+ORwxoXxPDq0DtZdfDFojUiJpW173b5MAtq+s3O6dNCirbv6Yv3Vi0gKL7I7
nrzyXAn2d5kzeOteq74Ys3Ex4V2vzX/fuhSl2BidufbWl6PVsD08YVq3d3qKxmK+OoKKtVefP9U3
ozVWu8JLaq4+RDTxWxsOO0KUaOVjX4zWQBp2DvyBq0vxu4TNdvBDf2VlS1+MVgTeiR36XJxQYWz0
GBE5eZnDur3BK9zhzYMZGrTIyRgjHm+8fkPQERlfhdesW6JeCU1vrp4GBXQ7XW33WYdruw/C3zSl
tXVPXSzGaY18o8gDMpTSOMCXK41nhfyglRdfjFOYkZU+BsAzrFLNdvUQ/qjbqV558cUwLWtCo9kJ
t3uEI/RtZw59WxE8smoSmA09b791S48UNDgOt+602hVuVf0W916yrkUlFuN0wF+cSa5MhHtFkg0i
DNPYKTOBYt03IxZDVSDbSunJdzDxUuJGFb0w3KIXzcu6p7MYq+iWBaktKSsr/r2zE9XaDnHGuF93
dfH+2beVV+j42lu3cfTv5IHd1VK/W3fpxao61GOUjqPSuGGgXDM9Po+CXNF1116sqQ5xPpaWWQ3B
ogGevcB4JBo8X/dCtcU4zWLwmY7dtq4SNuEWdtqlhbpo3Z1ri3FKW7gvanQoe2gKv0jcfRJG+gnh
5oNtjLYYpTbMLYX1enS5LA6hSdSBie1I99dNvdpinIJEaEnaRTTrOI76TSLsgVEWTtq6nYa2GKht
mQiVnJsWPQkhZvlgkWAJiHfVB6MtBqlnk8PQQWpxQdsioU/RzdTxZ53Xjx78Yog6REOFBWxnl4Q5
58qufe0qUbziad2tL4aoaERT4TTicwwQm+pp/82C7Lvu2osxOkns8x4YA7cyCF/R7OE5Ke3bddde
jFHZy6EPCZBxCat/RMxyBWbhatWl1cUIzXvP8wm9bPYqaV1bJfIuQ5ir66bEOZj27XKkaQX0YEUo
e1OdoT3Ws40de93Uoi6GqBKwT69ynglZ5Hc5UkOy5Vfe9mJ0Svgn+kBNHWAwJv9eXEhj3Qq6jK0t
RqMx84KznZn6l3ZOemXlrWuzLpFfYdIMQdty00WKtAzSkvV13ReyGJKJE1UFYYXKHjjQz2pw7uzJ
XDdPqYvx2GIgGcYePe8IovpxGhvhRq1e79bd+GJE6hn6UkiOjVsrSAlEFh8dz/m27tqLERknYW1Y
mqoQu87uVlHNHzjn1i1smIjfDxs+7LJMVJbkICRG0KilQmiU1a0aOHIZ5w0qwWqk0SnI6R8qLEVU
sdc8E6Io3t82hJQS+87YuO3sAe31uthopfm47uKLMdnTfx/HzKuhHxXHPqG3j7epWfWlAM17f+dV
26oxeXQ1iWvGrd4WL6Ecq5VPZV7p3pyDHGmMamkDhahS/RaW+cvQdmuvvRiaWh+CgsCx5yKNVy9b
lPDncmazrXvki9EZ1LJL2M/yoRgTVkE1+pKYwaoNFmms75/K4LSyjx1G/qCPTbRVpWfmO8EOKFw1
tQB8fP8D8NSlR6+mcbFp/FD67onmw5dVz2Up1uqIvKtMnefStr6xK1t4grotrFX7CApC72+8CjqL
evTAjQ/DbZur54GAqXXfor0YoWB1VGkFeo1FQb9KEByCM7DEuie+1Fe1foXmsu0aqLXJHT7MbVQF
qzYpYE4Wz2RGF/p6WrtCGGLbp3OArIz+rHudiwE60lGo7bSpERiYz36NHdoyHtZcmj75+/u2O0CD
oGYTFzDUCPVXVW9zKoD3q66+/A7JWSAnri8VUor9IT9H0L6voVsb7Sdfoj4/3v+3Uq8vP0VT6mIw
zZYs1hmddFNqWtYeyTUoK1KjjFYcUN8CEiuNZMgvYQrZE3nBUZk+C02Xh9YU08kizcSAAwgFe2uO
ShzfpJkxQJ8qyzHcTn7gTT/JOg3bA6kUVb5tjWh40VMpL7oias5jGIDM9rBpOBNdc8xyaSinx0Dj
RHwXz53txyy0i3pHACChQmqKyS5QWSuuowI/E5lxsg6vdIEP+mXdQ18MIWZCkB20MPa+p0XXSPid
S4FBbp3aAm/k+y8mV2Ijl2oHLnNQf5uivAP1ebvuzheDyCKpPCWCm+SCiZU5EZJ0xfqz1vt8f//0
qSwGUdsqEBIha7hlQXf/RA5zQsYBWntszsT1+Ce8XknwvO4vWS57JUB72ZHBoBSKuZdxnxymIvFX
Te/M3O9fAeioVtMr0gi7XAIi9ya8E9jJ/37rHw2pxbqnqaQPxVUbu9BDwgf2YfIG78rwY4g05bju
JxaTDjhs6LdFGe/rAbTnLmjKinitrqq86RSCRxCfLOEfvPKlkLASc9qhmfjAWxpiUNvZrNNHSrIP
08km1LLDYvb3v2j+iP7h41pKCv3AGogPS3homVAIuzOfmIjWCcCQ/rx/3QoSBRgPWYyH2/ne6Lis
dO2TCfqDl70UD0Lxje2Jqv0u9iEmnoDWGIecjKlxb/pdoq46U76Srt9uMA2ubYahpdDYR3pMd8z/
5gDo+eSD/ejZLwZ2TTIprASiRC3LaA7s0uwNeS3Bdt2bXYxkSIGDr0N4cUO4TYeiG9Od7YSfqPg/
uvXFQFbNQksSK/F2WheeVQ/SSG6ufOaLYTzqOJtz8Cdz6Nrec0o4vMJd90gWwxfAUB7WDpG7cSgu
LAOGg5mue5dLpWBcQeziW/F2RdSX56iuG6IA9IdV970USXuGFXSjrvCxa369L4ia3YxOIg/rrr4Y
pZB2Ks8gqdu1wrq4qKvhqSQHaOXF5xnuzRHNNy2fIL42dJNRJIfWabIjZKz4cd2tL9ZdZRw0nJ9V
6IYREOIisC8Vq6r36y6+GJ4YB8u21nNn1+BlHw5C9F/AKcXJyiezGJ8gQZsykZmzy7ryOk5yN6ry
dYu4uRidYzAATfbZSCUNqURZC1ViSoz7dY9lMT479vMTNUEGUd0RQ+VU28LEg7Tu4osROiHrqbum
CKlzpOMWnnpebrwqc9YJQLCwvf8cnXTklBYbDqWZfBKE5XnVRT7E4MZX3f9SCtiamZfBeHAI0p7A
ed9p+acgyg+m3KUIUJqThpzND1xtVPTuQg1Tg5KEj/qfYA87d0PDmfSNVXYzfG0QBE5DWzY6NPWF
OR7K1lFLoEIkkf1IYfh0rmcT+7fqEAl/9/1jTZxGn3TbqPehNVQHsJ24kBTMoase6lITpPdCnxJi
xPd6nwZb+mmPFGE/yzX66LEuJqhBIaRcFc180qsa/xSSedHugzqus//g7Ex2JEW2APsrrV43EqMB
i96AjzFHZEbksEGVQzGDYcZkfH0ff62WXnm/eiW5apdSEThgZteu3XvO7qa7vy5x7MoSPqpThLsV
izxzq6mgxRaBcLyft/2Bq3kKfPsE1kJOe5Brct9GPk3dsX9TURNGkL++WaLNwJNeO+2dS5HjAtM7
bf3wprYxL7iap2Q4+zobufg80ajWaH8AL4cV/LbncjVR+cXE0d/UTReGD/Kimtb6rGt+3Hbxq4nq
gm5GgpKN+xkaM1w66NADYMrb1obrCkc0UrXtW6DuenzQwLdV/tSE3vhx071fVzgCYJeeQ7P83oo7
neJjzGFGBLc9mOsCx1ItDsyOBlVsFrovXbvWP0A8hbdFcNcFjhvSyWGcZr3vOtHAq50ofwFyd9sX
c10eOC0DRXahATIcOhvUw1qlKCo+3/bU3b+OpKCehOUN3PrWUuCxjOZPW/2/VnhERPnv/uX/btj+
Rze1L33Zjfp//8+/mcWuawOx0LRD1njTHq2DgkdUgB1ySf7edutXHzvgIT8rZwKrECiObr1PbQEN
/6ZrX5cFFjAj+17CNS5tZSerBKWTZU79D3f+N9vEi8To38PPxsE6VfceiNGsCXA4Tm3ZHoxwG3Xw
FZTa2z5L7yqEzmYvg9zBjwjcyNphcc3Tbp36Gx/R1RIliywcR8HV87wrd3D8QWP35tdtz/9q6a4r
xlS0uWoP7MWkZTtUO91mt60e3tXSFEvfHvEDwjWtJ4QqMCsTWp6225aPi8zx31+uaT0hNrWo/Vhs
zcHR9fvmVMGNr/RquG4w9reeXM9eRkWYts1apU2pbjtd8q7rA7vQhGMYZXJvtZZKKyRS6JfNbbVe
nJn89cFkPioIpxJyX15wN1vQNvCx0ODc9MVcFwhOjiHlrPLoUFXd9hnWJw5cu/un5tO/mcncqxGb
ecviTJQg7gPlIP27rNrSdf4pR/h3V78aqDAxSFdjGjj4Fqnz2frZN93n2x7L1SitHRcZvDeEByoD
EVbNWz59gA7SX2+7/NU4dZreA2Cj4kMgW9TGCzDq4kE4TRfdNlavCwSljiZCYRkfYu0kOJDvGvvG
cMa9GqiU7g0jXKb40PosfyraT2iXbnssV8OUjm4cx+EQH7ZLsVS9YOP2C4igt139KoSs7KYYN9ND
LayzU6fkiy1uqz/2Lircf5+87MBmy9S2EE/75aJWfADW83rTXV9XBgYUHhXK63wsmVPrHH3ZSHku
lnZ6v+36V0O0kxeZ0NSHB9RvK02XvvYB67bRP1UgXwbjf8hJX1cIlhYsyAgC+qGVlj6N2Ty3Tzq0
c7B4LTK4c95uS/E4ovj55831v1ra/tMfvRq+oXEzFJxDw95vXbo1dfDFuBLWNKOuORTZxeo99C2A
i6QDn4jUtzIIMc59I0XRHthYoxRPGmh/5oxQBieT5y21PHa2CaGNe5UBHJUQ5MjhoRZOJB+Bzi+O
OK8Wwro6UVuTo7Czvbj0YKGOoSQQ6gWvLgnioc//kAoFmgMaNwQR5201DWI7w4Y+BAc7zItCr+5V
6yeKTrHEAHICCkJjoMH2BUI/nizhJ0Ck3aE+ObIWNMu25CxHHEilaiZuUId99y7dlt1ABYj/z1a2
/LOaBn/eCSpZcNDwhOp0nhe3PG5gzeC01Lanuz96krbhlKzKga2aICnIi28dZpb4Z5tPoEGSwWy9
ahPqAyvz1QxFdJKYtJHCUWam02Up0dHtwqXfsv3GkQ02XDdDB5ShhKtww4rFBO3OnbfAvneiWSBQ
CqatPfaQkg3qd6QVoZCzeKzsqYx2duktHm4hiMjIRZF2RS0tM5DBcgHJUC9VX+S7EVRjFqZkSFYM
zaMaOhUmkSvCM6VT5THzQ8JG5hLRTne8rb7AGBgR2SHNsYAHTm3nfh/GFoOS2dbw51RuxjtI1Qf1
06bcSHwUA/zYJ2/MPO9hy4poynfNNlHofYiXyen1cRPh1DxWtODzvmRZSm4ut7c4nw42fVBEYy32
tPpkhLcuP4aoLfs87WeSwedQVVH82VlDypfTpvNhD+WRdSkcb6amWywoMxsIVmpuQkwhe8O77Psz
khLk5GdRd6BRa1HHB7QwXdqLdWn/BfZGznqJLGd9byPO3AOZ87Yn0edT9Xld3Rzvl5p6dzpUXqDR
5eaF79JXUphmx76miL5Fo9f19zGiSXUoAnsC57vIkWR+EkdB6BJBjSP6CMQuSHRfnTrCbUtJRr3e
d+7ikNW2R6oxN46Zxzl3ksI2F3sEjGDKMu1m+uE2VmQOag59+SkMWifaYboNqh/sfaKGQdP6/bzT
VdDrp3qyc/EZnt7QHuCOl0Bae7sP7rbAcusHbA319qvsmh5MvK+s3n8aGLTFvpOFcc+ydarhS2G1
CJaZ3upcBEnY+rF8ssexdn74FXJcA9YybvPjssxzcGer0u+/VoswAaA/bUs7yYEmxzSDBaL5maHH
QS9WD3X0I/DEIL+Myt+KlNMl1i5ROz20O/LvEf9zb/k/+0rN27l1pTGf6812nFQWjKSflc9nfspr
d3saYzs/2O4QVc9AtkOxt6NSFm9DXazbywJeD5tX4zYl1olL75I462Xsuj9rTm6K+0rA9zv2uHWy
4+DGjrqfBqRCaeUjVv8WCdePfzlLnT05/WzdcYy0/YyxJifVEuQ7OKOZtVvLLVru6DqftxPlRt7X
Ji79eCcbP4xeQ8zT3ROI99I54/2bzN4aimo9xUbZ4hiKtba/2CKrs7diiLFmSoOoED6rHWuQ160A
/TVvGs2XtrfRhksJXv6dVv+sf55w4xQHG59euBvx7jF3LkGkioNlOkc9DvEsfqIA5MPOyLstz8Vq
K6aSol+XvQh6oJk7m9Oq+b6uaIk6ZDmaZVQT4Zx/LiKNXbCVUqK0yiwlfhRFjJ4y73Q9VknUOZkN
rQR48lk3rcYBsbi2tRt1B6UXk8Uiv3ljzB3sAjt3KIBeuYvSyrXCXW7pbt9dinjAKzN9Pw3LWvj7
QCpAtrjQYUezvaOSn+Zx8Ui4lP9Goki7U9UUbpuKdgn6L2aA6EZJVNtSJJl49baV52UUavlsIFop
EOLDGK7M95tc+j7BVTkhMyHjPeufyzR7wQdN+4oFoV66OH5ruMrlRcpxgp0aC046990CUzCRswQ/
2QC8rvfznHuNSXJnjLb7ZdU5WYsVFg1qLhSo9sHu46JAAG2wDmxIWKxPAv2Wuyt8iL87bc9OvAvN
tiGMsvHCn+ZxW+Lj1PYWbsLFzcyDB+7nxXZ0VX4ii+yaGncCUvADfaYw++OaHcwTgOk+QpdXst6N
WRYMKWxMXFdtblf4XTbljKkvVQhlUSh0Lkti8wU5b6MNijiZOn8Elb3aoXvqOTKunnpqY0u83QbR
SEEnIqZCFTtnx7tIHQI9WN0fbrlGzYNoPM031hVtU/zymmjjS2gp8tT7Po/K+cAvW6t90Na+fhf1
XGR3Oi8r70wPjGgeaUCC0rNnOmrEDriKl/3eaK6iC1IjtTzpHu/ncYYahOmlwjtV3RXVaORJVq0H
htVFjmbvtYSThvbbdO4n/mb0McOuXb83tJnW4KzdovfTgYLtiyF4hNa8ZnL9VLli9E5RLLcI7GIX
R6cW16yVGjmNQKhUv6yptObQSTlQiIoXbjcIntfF5OUJD6TPyVGZ1db0uW23vrvLgYqizWi6bf3J
qqFBj+rStp3Xy0mNB7a8GMLtcUNn1+IqbzeTnaOKV09rigBR9LAwIQ/P9MtrdbbHIsb/MWI6uqzc
a6GLJOcxap0g6mgimwrXfJvQxpWLMa9evOJ2BX0UiUPot8xvOM2XSj3bIybUPzalJQKVZpzX4Gx8
9LBP6H/64mulV6AV/Eivz55r0mELth0e4h0CB7XuOm8KxhPrvwV8fh7hHO+XLQwXxJ4gkDdepsrn
w7zAbn+HtTq2LzPPbAYNvU0OzkXsPKmPp1R/XWXoBt9aNzQRsgRwxBBpncZr8l8dXRb2C32ufvxH
74u4/o6so3bZX1FCDfe6cqvw1IajNsRvhR3h4RmsybAUNivLB9EeTSbCCuZwpyOPaCeJ6tD6QR+q
gbrPol6dt2moP4cT3/e+thdg7OW6cf7Shp3/JXCpi0g9E2VVyl7UD2Go9SEO5SYMxJx4q90OT7JA
DBAnDgX/BxlXTf/otXKxmkTocP2j6odxPeDD8Odnp7MVHTucs8Y4h7qlwB8CW+NlcAvva6ThQuy0
n5EKQFw4iifTySw82DiB3WfOn7zuralDvaFK6AaAy53P2EC5SaFadKxpu1CPWdvgrk7xTOUvhsoX
C9Fb2c5velsGSPsNdpElpfA5q9Mwdkr5XGtyTEjycnyzntEE0Yd2gHEbZV7X7ZSdubyJErjuoz/J
C/sRMjDBT+RCw0ZdGc2Bu0MeCV89qbfVfKkiIMYBUke/ij/LAAHRx0WO9KCAvUdxWuSVlToVdaQm
ZXafk3AR3vjFnbA3nnKxSNb7cIXwm3iNbOWIzcC3xjNaj8J+nXqcrIB9BcphPMHdsYbmar5ddDnz
wQ3rxoFloCiSdPzSi3ZeU2Bd1p6DRZnFaBnRdmeVfpoonYo7/Bpt2DzUWECfI3NBJm5q8+51FNX2
PoJ5gU6lJeTYqc1n2l+a2crPteiC8fPUZM781ik4xBw0DO5302TLnOLF8E+Ea3D26iJKe07dErVW
xakYZZh2foPdBPZ/um0IAZIefIrYjcp2TznxwJcFD+l9HjUchoi4GnRaOC4w6H6TLnJLvxJ30ZKb
Xz7yhOrRZei0x63SW/yI4ES92AtNIWyBvPEhx8wM6Z+NvHqZLdkct3ENUxHn9SOHItaUgjv06F8U
QfFoVOS+94uV72skmXXStut4P9dN/Jwv9Nzuaj7jNFinJXWLrDxhCo8fJpGbu9xZm+8mn6tPsYc1
FV3L68Vu8R5UFwdrbktN2cnU1DXyIrvEZJXkRLvmYOBNmRP06/xDOKu8GysTxdh4B5G224QJtlNV
cGcoX/TfFysKP+XN4tHI6Y5daJ2QhM44rzK+3AhwrinsX+WYmfE9AFxtEtDfa0QppzMvMMttazXn
xqybjYdKOUbC4hwGDT95LZF673IxO2gxHL/o01KBOrtThZPFT9pa9XiYA3SYH5toXJHGxp/H+8mX
Qf6dyLUdaEp2LfckS1n6DxU0bPCQOcZfvLdSRR/e1Ej7efAmT+5HJU13bIQWxbm3UGZ9s/BbAbkJ
zEXvZuuqGDH9YiXlI53CMlUNMcqSZJ7leU1iAjOVP9cIXPTDvAJK/wHGZiEcKsYo4OtuGFtY01Cn
BNWe/obMhU/elBVeMfb++77zvfYw0kNp79jR5OF5uJTf4cNsXe95KtwquKd+1nN2TrwG8dmp6Ob6
s8z6rH2e9BhJG/93Phd3Gv0ZSp4SDBBnjFvlNuaVrTGu2AQdPVMS6mjNvFB04YIeoWVIfqrZrC7f
6gAnmA+hlw1yu4TfHO3V1veWU0q2yWsfgE0jCQ3AnhjCiZNsmpndtZrW3dzmKvoiFiaAjwhHQfRV
awRd1S4IB4v1KusCa/4klq1a88RyXQQA45ipNo0zr3Gf9Bat5k8f3WfzS5Vt0e2jCvbYm2mKNd5X
dtCrF6iwQb3SBU4/yDEuLbd/EYyyiy7LU0PE9FSsIcnCohu68lR5drGcvLqo7Xbnb4oQIGmEEDmN
oz37DyK+akjNDFRfsdcV4/JajUrlyzGuMel8NNrq50NfWWN81hpUN29sixe1G9xmRReB5Mr6IbCc
6+/jUg8IY3O7tdK4npz7csgzkQ6cJo8PyEn9nFcSljEKcbLsKWIKbBjJIGgD/Zg2+mqOgPqyB7Qk
w3HBWfU2eK4ZiQ6CbZPPpmmaRAH4S2bbzyfECVNU9QezRNjRc5iI03nzNBu0Ip5CjPJLjwR9nMZF
v4YOIp8/Z2AI0X6rbbvYwRZlXU1yTVf6KSPMfiibqeKr85zWu8sqIIv3WMb6L3HEQ9h54+g7DUIe
6gY+dLNVFlGqsa3juvFdH4kDHEzALAHVH8vilUe2AE78racpMizSIM7t8g18TVHQROa0AsU7H1ng
pRGzqmE3h/I72cLCKZ+iCjVzqhjw77UTtPsmK0XHUMumu94mg/FIvsILXqIOt+vdMqv4B5mYr4Qe
oyuAMAhKwHuoEu5b5+bZ9xaJbrnLWybFslL1IzZCIrPNWOFybsKoSOVmQBRYOCROZai85nEYPd08
qmzS95OUffUHSNnxtzXUWu/WyeI1+mv4UU/+5XCnjljbV3/5EMQS4y7fBmJ16prGNWmWsD1MtC+I
pJK4rlIUPAO49DJaydcyEyIbEWP1tMiN0L2LLpmecG3UR00whuiKCvQzqfRYP4BbH6wXL6SIj6Kg
sMvn8yzyfGx4KZPBsxhiWIc/bntRFe6rSJSv+QBNeu+0djb8uc5uPacWDu/pe8bJtw0+PkI33hWu
cfk0S/eTKtmPHE1XaURFTKAymScF9yp3p+JnFLTa/fCWCaOKabXDbif0m3lNqjlqrG9l6WQ/okto
corWyZXvRsjfI8oPn3A3HhyC2davp1MMRSBKY6Ha333AkE0imvwxLAPu34Pxj/6V/Ku9jYdgon3V
+JnPVgYM82F1wyX8KnMrznl8cUZm0IpbrBxaFlu+Iyhpl7tA9P3Pplk9h3nOL6ruQ4sorlJXFYt3
qkbf/GLrnG/3qnGz323RgIKHGGxm96FFYTm8W5ktgt8OTfbBL7aWBZmRKg8e4l7VzB12YeDqO8OC
0y5DuNKVnC35ucjtl9ISgmw2oYd9H2AQGg7xrIS7W8fN9vazQCmTNO20fqKLyvG/SBXPr5bl6y9R
FjrvFFCM27HPamFOVs/GeG3add7jHKUFaKtm+YVnXt93Tk1Zm6hA9iZV5vfnHlfIkAayQ90poeh/
3VpAmUPQcmwkkU/dK3x5L6FY1kcRb0V06HEhZfsGi91xoBH96MjGPiP4wG2mOk9/FHEemGeZY0w6
zLOFrjwYpmz8tEx9sHzHjsnmDFOfX3wlNeyFuEMNz8FdqoppIfYwRBJxhBCssUy+F6sgSPRIJeQ5
UUYVWEdKyDdrpyiDD/b4VcibLACZIRuECiC/K235QcNmVb+5Ud+O6UrP9lvJjSReOTtySpm2zbgk
ityY9yzrIvRTT3I77z0Gq/5QDVlVpK4fyuXHpdb13KM6ae/XMNwa/kZt6bfa8ZcGo3a4ELCZ0jtE
kbTw9qD9XV5JRXd7pomuO6ggqPQOt1XjUC4HSnLfLzaTyBj2dxfidP8lkwhP2G4vFC3Pxoxv2iqq
Oe2CyWnuLGtut2PELvyXFQBaSRpgcveY1laGTxbxOOrF3texP6XDMC53Xu8QcBZld49KJnijenmg
QyBjUvBqz0o9P8y+XvTU3SGiQ8a8k2daZxYibTu/xkjlbgg1o95ID+hmkt2544Si/F5sg25T3tQS
3Ec15huyOGszt2kxZJKOR6zX8aM921GYxouQ03nt/QF+NiBfYIrZLKIS+2lJffYSe5dBaFVznsNj
G9gxMfnUu2rT8XIeacqIE7dfx4ZhzHnX74m1MztLNSKDm+nBs6nEbF3f+eh9IrTdvMSqwOY1C3p9
RmHqj1K4Xr9DCjmUXxsSGuhluqko3u11Y/bILUvgWgydNkgxjDburicbNqd9N5PaQvdo1nyHrEzZ
z74cVPQKQqCcE0PfmNxPKGH6xLibTwQTS2f8aSn6sJOAVo/4FfrFHB4LI5fwJ3bMfPmiCVDFQ6Cd
Jkz9BpnaS5Mv9pI0kk1BUeq2fTM4YeuDW2m7RetQdHImgVl0W85GfSTlwEe9EhQCWs4G6Lixzh6L
3i5RBfr22j3GkjxtIqS30GEpC/XbDnA6Pblb1lHck9l1d6LV1XJfqigKBWNKedvC+U9n5AHi26IO
lIvJNuVUJZh+dEurLZBq6EbOVkM65avdtJc3JNj47ByconiuCjZg7dNE/rBO6a8Y9YT6UzruvS3c
gM1lMFrdqaTOYv6xuCbWu0yIbDwuzNfLTgVS1vsG9/Gwc2FYjIDVVWuKA7vBJr7PfAzlFF82F6AQ
fKUev3CJ/jMbETmn9InkcbDzuspmQJX4QAJSSLrP78S8ehsxyyj9E0kCTI7bQGyXkId16sSqkeru
Bj6D5uCvkzP8DsugRgjiG8cfPQiZYT/AeW8b+rlqTshGFtOWONFPcTXGR+FK16zn2om86GNSsB8e
Frb2q+SHl37lE4OsXv8chGWzfrH4NTHeUGf0+ulAfpBxn87Y6/yn6bKDvkcQV68EX9TLbihXszx/
Nq2j2ayoyRMMcL8mZxWmnLUE7FZt3cbdz9Kwu6ZAzoSt/VuNs4VRzAkDNkz9WHCeBN+iV4iu+il6
Dpg8ckLFqNp+1YWx9PeqQuZ28HO/sxChDtLroLcKVb76hPuMZTcO/eAgCY2G31hiA9SEoxP75mkJ
/SlCvFnOJcAI8v/jRVw01R94XXvrpc858HmdLxtVnbLONogR56HXeOhzqZpz0XLuxUfiS++gQjY+
Yg95bRru6QDMgyXdOEPCSyVKFZbhzg7EGN0vkpOkB6LrSDwQFvn6Ey7NWt2Fubf0Z2uCrvwdH3OG
+/cSsx2mvr04ZkMsZg+9HUzZqzXpqWSOo3E1jYmMu72Z2kg9lXqk0aUN7HD+vDXUBaaRrTnkKb2m
q/aoeK3xZyS0zD57i2by7+iIRil9Z20AfwlZm77AMiRz/CvE3xVZvHAdp5Ppu9g7KbLsy7GpkVZ8
kFUMgruy5iQQ73NLAcBeKnI+0Y5vcyO3dcmoWYdBue6E7a2trIQx9yikNj5njUGRjQcb0Xg/HErL
4bxHdBzx4EMEyhQlZlhlsFNFGPincZ3i7ST91bK71DbugoOs9nLoSv0UO9VD4CitPwIdLN3vMPen
9oHAtgwPTVBM8adl4Whm1+RosOhOpCDtpeyQFd5nedPVn5aIB3OP3rfWd/YEhONx5l5dGMhmC16q
KWzzu7VScf3ORq/M5tSeiJaHXdVHLWlr3+UDs9EsDUiAU2F7Ah8x54BhFB9qygETo4bwG1xlWyNO
irXXtfuWoyA9nQnAFA92DCupXlinOxLPFONwlEbsFptPHo+d5qo4KOrtndOTbD3MjORDvG3hA5to
Yd27VhYT2Al7IjFyOcaL3KNdCSGPdYW782Fr+rxMHNf047elnGKfXP6kZ/cw5nI1ReIsIgg543Qp
ukK6G82pILGhv7ezH7kvvV5d7R4o2ncdchprAA46Uls8V2ncLku9M626MKhGLZ4Clfnd2Y/FtpyG
Tk4o6GYjuwdXm84jRWpz3tobFU6HkiS+k1jacawDZ5RjuWuiPGbbKQctiZC8tvT+WEO40/fZllfr
W3hJx5N7LzK1/fK6wMt/oMK0MWh7tDqebbK+w2NtkWz83GStS2zTBf764PiWNn+aIajkgzG5pUnw
rW6UbjHhCIpe5vSEo2RNsd8w+o+T3eolHTEqBmfFLVS7aXPdOqU2XnBm7vuXGtU5OsSUBz81MyzR
dyS1uX5EZe50dyGgrO3ytsOMXgcMZ7CkdehXP0jzWd6uCiJL6qTW7GdS3fG1YxYt6poFkon0ss2/
aOCfY0vNXmosy1EMlgg/TCplcHmCsSRdRSShgvhZh3ODCngrw/LXdFkff4UTrsDFG4L8PPSxcRKb
+a755Cnljoy9PGiHMZGRxuVNigm0TFjYpb3zXOTq+8nLh+zJLcJxOTCNjut5bnCc/h6rVa4P/Ra2
wRe1TsJn8zJU050x4bZ+icJWzs+zqHPvpNspwx/qZENCNJpfkuVynVlzOcB8iZAoh3e6oNPgiYMS
JJMJsfFGamuoyVoFoO78YPyDxtUhSmgsQv69CmwkRNhD8UaZhENENINxfauobGRdpCt/nXbxHGXx
RyjtmHLtzuY8az52mRr6MYHFkPlJH1FH4KWcfavpN4mknOQtCRt7/INsBWZoVF2Er1USMMuO5BCb
nm6PxJ01+87DSnsoOJFu9RHS0mFtJoWMEOzFcGznMUBFvAw21dZ3JIrWwNkpr6CUY/e/NLAkemGR
OnBS5Y2pTUWQxvM6DlmKN9h79/i/rft5KXJ5jotL7jdn+73Ky5zpZ8+9q9WebME2UalsZdb5f2XT
aq9G+81pbNS67hDu9FOymSJ45sCqm3Yio/n7tgqma1yVwAHW9p1GchZ/rfzPYj7cVgN0KbD7t76u
oPFmjmu4rle+RSQtyuDGFpqL4+rfr4wI0I2zMsQl1602SaR4th81s/U/wbT/Bh3PkcFf/wCpMHek
Io2TCYvxNxR9Od63i9WXp14rScLJnSs/6TAVuS+rJnXLBquy7LS3Vt7Tf398l6qi/1RtdFVYhhwK
srulwkMP/7DZAalfHykeHFAUrxw/chYX/QNp4O+Kqa7qzNSg+dQ8TxwAAgzhp9H02bSTOXHubmFl
mlI7L6yGqHQ13em//7i/KbK85l5V1IexmrjBQUS5yxm50+1xo94GA6Md56+vT8IA0yHGeipH2h+1
cj6WSGb/UC7+d3d+VR5KmD60Ms+Cg4kLNgzKnMup8W68+FWF2eg4Y9dPIjiQg95zkFommUPm8bZn
flUemq1zOQZxKQ65bWnWdGS3TsHqf9vVr0Y72mUvoKQtOODdFjjPY7h0W//pv1/8b75Q2/vrCxXK
aRe5VnwuRRi7vzQ5pSW1hXEhkaCokomcqMY+0SkUyJuAXt41HAttyxJaWR8cACgGX/xB6afKIb36
33/QvybX/zC67avRHVbGIy2U+4cWty0Z6LgzC4cr/PfbOKP48Im8+RfMm504lrL6XG3lZ4cvLThl
upwK9ip5sYfn9gvZKbDXZAwJyf7h7v7zN05C8a+PG504rfOupY7GadjR9+Fw6NBA7//7b/+7q7t/
vTpxABtHvEfkuewNZ3X/FHr6NoKHH10910m6ui6cRR17vEFNQoRg3Vuzbd5uu/erqXKxPLKW/gQK
Zza/KCB6XXX046ZLXwMdRohdhRQU/eEDflspx7Xb9qbeS4qr/vrE5yyqBWliddzmodjPC1Ou1XQ/
b7vvqwmx3PyMhvBaH5kPoUOYpzb6J17fZWb6/weJf01wWCxA2rMM1bFo52BKVCiqx0HIFdCFO5n0
tvu/mhaDultxkgfq2JTe96bwv1jytn4u/1r9tKKKa0SYqaNLhHmatXISZ/Zvcxz44dUozd2CRi7P
5cZ950s7WxdVvfy47aFcjdFiHSS8gkIfA7f0l/3mTYZ4h7P7enfbH7gap36R59EUNXySq/Vatu5n
cjo3gSf88GqMUs44QBrl0pmJX0e7fM48cVMDBMU4fx1ITWQ4G5+NOnrsOY9W5I6vTr6UNzUr+dcM
Bzec7WDG+3zM7M1ccghHMtq3gVZ8cTVM25U0OQVl6tjNFJ6yjTkMS37jgnEtkaJQlf6/mEfO9Hg/
G/e+CdbPN30o1/qoeMk5ax1yzk1RxCfhZu5jBYnqtotflqh/26LEfCWkB2p1pIb1hfOwB2WPN973
1ehUnAdkAo35kTj9S+mo16Yevt5211eDM1v9ts5lpY6CJ5PENPhTPY/N+7arX43M0asGq+rjAeB9
MaRwhl4nK36/7dpXQ9O2KeDoAns45qXH8RvV/PN+si1x24O5RjdUVYzOqzKMm9i0aTQJ8daU9nbb
G70GN8xVIDIkZcPxkhtLHe0/sZLeRp3wr9ENk9VFfbD2fC597FPPwyl3TcljFM/1TdAc1Ch//dbx
GtpxvnY8+7xYqNaCOnzMMh8c0k3v9hpiYGoSuKrN5DGyNCWn8yLbP6eYY5jbxmpwNVad1rX9hTzL
URVG79pcVGTWiuBw291fDdcwXFfOIW15nBrhsrVAyOmBDb3x3q9G7NigLiMLLI//h7MzW3Jbubbt
rzj2O3zQNxFn+wEgCZLVqFS99IIoSSX0CWSix9ffQdn3HIuWrXsZ4R1hRUlFEgQyV64155id7aU9
2muzfEMPKH5nTjpdg18USs7ZM4sahwkrIlXsLgz7875+mivjsj3POXtmK7OBc+gNXHfht/ul07vd
xLhgf9F1P8cYjNZoLW01tXGROOuL3iTpnvq1LS+78OccA4t1ErE4X2tAF6/beYNv2SFzOFde+AJn
2yoK7rJhsMmVt7rpoJT/lMnqsj6GfY4y8MraZIig2tiz+4c87T5OZf9w2XU/q3rTZJmsqkpl7MFd
E82Elca2rQsvytmjKmGN+8gi2tiiEfvZg8a+H8oLeXS8q58Xsv4ke1wtp0FziCbZJTMo1FApXbaM
2WePqlo0nMUVvx155BA6Rnssxe/in36UoL94Ts8ZDCgJyCXzzSY+tdDRd9aiYLHx8rmM0hr96r5u
l+lhqLvqYHWW5sZ9lknnkWxwT94BTu7UQ+DV7r4k0KHZF6WwabXgOU9u01n6TN9Xu5DqaZImKlh9
kaJ8a7JMk0x4RvxNhjNnA4QGLGabygAvHLmTSeufQZJfxKY3Z/YhaYppiQwdDOurRiTisjOsovPo
wM/8zqnK+3WXyiDrmDyZ67BDNjavm26sLfF59mhn3/W2qxVfOsORMgYbEIyxmvm8m7ZfHVSJo+MD
6DHhN7iLlw77FABScO364tRolKv5YPoBTgZGbIc2R64dYx7B0jXV1WhvRmWnzpYevA37u8pGO0pR
UTfUs0GwRL7KkdvU2BWNq0mgizwgB+9tbHRlOkWOVY6HddXqWyVQBW5sfRyZUieQGR8qA5PdZVWI
fbZg1rM9uOVgNTH6Y1zYtRaaqRVc9midszAsO1koJKs2xnX4ntjlQ+Lll73vcxDGCMKexjrvm0Fz
jIrpmDjGbzrM/2Z/OodfOCORPgYdpNgMgjlEWoeDqzIua2za5/FYSk8t7HFGG6dmgU+rlN/hXzxe
tE7+gPP+0wmhGHHJCU9vYqZB7S3J1owArL6+bPezzhbKzM31QZhuF6eqtK8xFBREpg79p8ve+9lC
qep0HMd2bOLST4dn5ct1q2rh9xfeimcrJUMSZF5r0MSBNWihYxbXaAwvS81GyvLzIq/zCDtIbxpU
vm1Sbxp9KuJZ6ugiL7s2Zw+pIXJj1SzuSDetnXmL2WNYQ09zysuoA/Y5AqPHY5JoWd/E+KK/T619
xClyWRSufQ7AaIdJjRLPeJzpAQFcPSacKrKCwvx+0cUxz4qa0ZGrNSJQjSsZoNNCQYS6jm6HeRmu
DbnEz9/u1IrKQL1HgaAbCCC8CY1Knl8GrLXNs9qm9aakWFO2cOD2cHBQFmPwmvT4sotz9sxO+oK2
MBdNDMKqOrrW6GAnlMq9jKRkm2dPbVeIlASohmUYqvYxE5b+mTPtclkr2Dx7aEH5yrXuqFdpZc2H
xE6GGDS1t7ns2pw9taZVDUF+2p2KvE6RmEhkyH19GUDVNs+fWWXMw8w5OcbGa71jCVvf13pAAXvR
m/8XJoaJ+C4r4DE4rjdqhzIQRqQnE6rQ//z7/81U2T5PzFp0M0ncyhfxWqHtfWzLfGwiVOpmu5m6
RntMu/pW04Kq2FDFlTgfAg6juwwVZXPZt3+OzcAOgGqooP5EPYOBS6uLFBkyyszLiKX2ebIWUijE
1fK0MiUoQ67qPCWwe5FLr1/4JZ0926s+KBstk4gty8jLcJ7w84RFCeT8sl3tPF/L7dZaCZMXWAYT
E9I6vBB7+vU/3wGnJeIX5f+5bqHq66UPhlXESOYQFabWd1xNl77xsyc7lavRdaVXYxW2d5VZHk2z
u6wFYJw91rWm6enk92QE22MXlRqKMhJ47y+7KGdPdZ9VKsXCLGKIUeiSMizNtZNfuFWeCw0AJjRC
8I3GucJ6VBeT9VVpbDcXvfdzoUFX2KKxhVHH1Fq33rheYce/bIqhn+3BeKmlTSSDiNHjZUejUn6Y
5nCALnvj5xtw6eb+WFp1bJU+iBwU1PKYobm7jCxunydt2cHcWK7Q69hzRBFJnOVwNpbLHtHzrC3V
ijRNglzEgZ1N1x1Mj8jri/Hjf740p5XkFw/pudYgmMplRI9Ce2G1JSW/3qXBttKNptniI2zERTWW
dR56ZM5pkrS9wryqvC8c1G9qL3v5z5/g18uMFZxVKPaoMxokx5podexOoeyG8R2d4GWTJCs4K1By
amWBLruKg9ZP6O50/qF2neGiR8oKzpaxxiyGeVW8+QTR0dYxzBY/+3zZcmCdBx+hVPUWp6PZYUy9
seBNYvgbFUIU42Un3XPZiL+4ie9aaRPrg4U8k++hOK2YetBcVmKdC0dqLe/kGOCNJjz8Yej1+9RI
Lrr0tn62EjeY8Xxd8d5pmjqbXDGhAWPwO8nLv7srz2angjUGs8KcbTGgJPfjorUPAvv67rJ73v/5
RFHlwhh0s6tOW6v/sa0tJ+5PXJvLfvvZYozvEH9gfbrlQZGGjfQ/YoPML1rOrOBsLR6WXizDklcI
PxbZRn3Zyk9rFTTj33//f/1Efu3+9t/8+WvTYt1Js/7sj397bGr+99+nf/M/f+fnf/G3+L25favf
u/O/9NO/4ff+43U3b/3bT3/YorLvl4/Du1ru37uh6n/8fti0p7/5//rDv7z/+C2PS/v+5x9v3+pc
bLAwqPxr/8c/fnT49ucflmucBFX/9c+v8I8fnz7Cn3+8vHf9X8J3kb5Vv/h3729d/+cfgf5XHY+g
bpO+YJBzcep7Tfy7P//wnb/6ZmC5iFMNRIQoav/4iyD5NPvzD9P7K5lunh7onhOYnnfq3HTN8ONH
xl8dWzdM38O3A7OKDvL/fX93f99f/v6l/JrWe/ry/3cX8pAY+KyBbgD52iAd4lwT4NlaKivf9Zl6
DeVO6kUQjqmbb5y8xMgilt8sWz9K0LPXg3CJ+c/jigR8kJ+fo8KcE4K0Ai82yi6loVYW7/CeMMIY
ot3O7IybOlk7GQ78LTKol9EPwiJzhudVJVU0jab1VKI3Gn/z4P0oMc/fl+nrPqWEaQaQwH5+X0HX
4UZiyI30tvrcC96HAT0BPYCzN3v7GARrEzeVpXYJRqVNRkarGv7/Il5+fBc0ohxT103Q62Sd/fwe
ypN1dy4GP27zWcYJYI2jb+TN4z/dof+4A/6Zz/yLb9ympeP4nhV4wb8sB3h6xyJbCz+2GmfvlNOL
b3v5fsqrFv5QN/3mwnKfnt9fDk0Wi2/cMW1upJ8/0wk9pM9wSxiQee5u9ucqLBDR/eZVfq6lfly5
gCcCW5urcw+fn9zNpMQP7CRe7GSINWV5UjZWw/1Y5785Wf3i4gWG7RpewOfxXffs9nW0lSt6un0T
wENhrRXfp3zFpmWJO6sofyMN/eWLuZblBMQZQOM8ezE4fU3jMdFl9mfrUQWaKcxwkG+gc1XRXLi/
aRL/aOudPQOBiRHPslkRWKfOvqsc2xTFYurFwCHALo5NcD15iX5fkW93aGq0WS2YkV0Gcmy/NuAO
DL1OvgCngoAuZomtwkehI+pxQzIVdhzdYbtxLb/aOEAT7noTHs3Gz0QgD0Mh8siqa5rFxM9mY9hM
coqY4BibwSngAmE4+qjqWv2m6P7Vcx6AETMDpvn+v96PE8r7CXCIF6eY7g+4of3DMjo63jvnibbP
ri2S7iBU+t1D9bq1zdJ8nFLb/82l/tX9ii8QhJ3h4So9HxurAk+Ek1RBXFWDfcBgfSt0F6+onrm/
6WP86ysFp9gfy8Rf6XCtz77TrM26KSigWXgJ4Qnz4ANQbOrPXfbbFGjD/TEI+fkGCnSTHELTYmrq
/f3n/zTMkLVhaZ7ZebEN+m9bjlq+V6z4dyZ+lntX40YwZf+YlnO9LQZcURvqQQkjT7RTWALH2wcd
tJ3F84IBZa3jPgz56Lw5o/T3kwtJLoJ6ujwEXW9f9/3YXJVZnZOxnC112BpDMe8qH5SAxKUKmMob
DnqwgPkEArcLlFhiTXZyo5Q0t5YDaI2/qFdG6KSNk8RTb0pmpEZyMwBF+yAcA9p2l3XuNh1nczOS
JP4h0evibZFFfaAdNG31Cv/gEjhaSGXrHUrZe6+5tdofJpMPvnZ2F0EyqGCnKtBDNOdujGLZBGVv
QdJo68NJXhl1NWOqZh7aR9tU7as5iPaNJEkO45kUJlg4PD6Mz+Hei3HZiUBU+1zviwdNb+UHX699
8EAY7Tel4lRDu8qSr7ikkhuFsw2QAH7+sZb+V3fq5iZMdOtTqRUvAn8LJEitca/Aq3ywAmXdenW2
Yf6xhxZV78VoWC0rQGreG4YP09PKXP9Kt63uwwqUIkx76cadVCVclr4lDC4AJlPJfIMkf6iOYwPm
LmSVWq6DAStySEpCPWwGMxm8CEsWUUxyGt8pmbgmkyWuM1qE5G4Mxq0ErMcls8wB0xlkBqMT4zOT
GrKVaqftXKJ49OCZsm3pQcoF/ZNf1fZhGPQR85TUIuU69rUc3XrbSD3pwjw9WTPkytYflqlRA3is
YOlsytHP92YaqJ3w+b7NbuTyjVrnvCVuOW1SvlsWodHIt0CLnE8o4JcrrAH2JyvDoxX6epl9GFOJ
T5o+B6/jDzrkTBaPmZWTeGE3LOspeJ46p6+e4RAJQDF68RXjIJ/BSxzueCyP3QPa2hK1UTa124wS
B6qBiirD9r6veGWLEJisABbZW0kR+2ZbME8uh+XaLGt5XF3Sxjc5ZDseoVQPAQS7sblS4ISsB/UX
13LoWhKTRL60reRBBbUXWikAkDHRYVGsYEBweacBEE5tVRGUQvLZRAK4dE73jtWMWTgLg/ebTcpq
wszv3TyqTTcLQk3L12sTC/wwGnR2Akddpb2oHywx9VGZLzt4dNmjqQczg5e233W8tz0GJ+z4sg/2
vqPXfL9zDUNq5v44MYthIFYDdL0mNZ5Hy/eurEW+N0z5t/lAvJbKpPxMwrdrUKBa8oCbUYUIAcyo
NEdAgcbqTChm8RSR7cXV1/3yxh8AwWV4Ug+ZoL9V2E4KQymv3ziFFreFMKa9b6nkG6wTJwmBcU4f
x0JvNxVfMYNvS98XOYmH0zJmMc4rpD1Fpr6OTt1/NINu2QeYgGPVDf5WQiTZQUjRwtoMdvNIgQgy
AbMpVI7t7JFwqgYcXWN7JB3Dv+rwEfbwuiYOCl3qR0mRPKXLaF9JZaQftBKFq1J98JZz1n8yV6ff
VmlqOaFK1EBVrpK9CX1pn9U9sBkn51HwtRTXNGwdt6U4rk0nu0rb8dX3VXf0G70kN2dZwmkYhj16
BHHTV44PyIw266aBk4xhUBUVA8qqiOyhaDYzvpHQctbbzjpJ+gtvfaDv3t2QFZ9/mXNWXF07uasT
I4+lLOc7krimQ4F3GDyMzlimXIMnV9rrFhOythHYO2/SoHgdoPDETVfPEYqpLkrdu6Sq73W9rA7E
cLiHabDKMCmBi63jGMNb1HZ0+qZ3MUEVCktAAyvPmma8zoG0buyqu4E03m38tkijmdkZ3JHFuK56
y05D18+qnYIdsXGqZto10HPDzug5UBhuC6xOjfdJBypgp2wPbHFPGhcU9O+z24X15DmPFElrPMhM
hk7Do+waemwYrrOdpgaYn+g/trm6tgqxhJ6htdHKCo7iUbzRyoNlzCe3FBjRFLaztMEQdV63ybAz
4MSGdWcNkwWAdUjuBUf/Lerj5arw7Rv4wWIT+BrZXZY776ZpkJ+TAFiJtxgNkpb1znUkwQeTcKcQ
bLL7KkBsYeZKl50nwf/jzId5G514BZRVABCfqMvmj6bIrX3lWkms8qmKDBab27yGL2RILXhAsel8
UgEQp00J+Yir4dbuzHIuizk0TqT1jSebRN+C9Chh4jRcEUxFq3dXOcTgsFut6mXMVPcFrBt8AekF
ajikxTKTeyJqEfXd+n0xc0GTGUre5A1vNT7yA79uDXt/7naFrezIcAK56ZbqnrV/gwfZwLqDmhdM
XxKZVlB+MnVLHqFJpaExrCtYhQmSYZVmuzwvF1gbQO3KSV2pNZk/eJX9PJo4ktNAe7LQAEYWm/yd
qwGG6tYEZCtOHuGFyKi5c8sTecGz5YPp6g9gkOW+wXIZBqCD9n1XFseTX3Zfy2E4DPBtTlhytK6u
w00xStOM06Zygegb2jZRHfTQ1qyuAXaad0Nb5RuhZ+JT45M9IG1nm2hLcSUUq8UMduI7G1K+LcRU
7VcYFk/gOg2YvbMzvatqdTAd66LeFKpbwxVKLTWjs+w0zW/2ftXUB+zm3xvTbI7zlBgP8J7lDjLP
Xa5Q9kIbcKImsOYhxBk/PoPJSr87a6m2YCSXD9Jf9AMkjGSniUDdr06V7khe+aYCOdwaQkt3VR6I
IyotRmFlMZT7edTnGPLEEg2JLLZ9rX+UwCKizsrw9PvjvFsTx87D1E7FsXC4E/zZ1JF44YufzWLd
NXNeXtlLHlQhqVv5FM1lP0UwxZqv5mxWV4kwy34neq5IgKcoTgREXACDfthm7lVpD6+LmpubuZlv
56rpvjl1O1xD5WgJT6vmiLPhLU30bhskXfdmda4T17ocD7WzxGWjPYtkAZ8wrG26leTkHcH0Fdus
hVuTDi6q1m7ub9EU015lE9zPbXoU8AiebHij4Hd9cwNZWX2TYkLSZZ9scWbeQDkbUgLPTNbmsnEZ
1DBA+HjiF0VAuN3Qr00NuL1eNRsaGePdnKkXkIZ92GjDdWaOVVQv07bBKrkhfLDdVpD7VDND/Rmb
NR6DfowqE0rJ2no35goB20TL8JHC3lFhWiQQ+BPoscIiFqCegW0VWr5rPQETTf8q3Hw/TEZ/qIZF
weLrzL3VeFDZjZFd2JrBYOTOGleYe9BS77rG8cgmWhZo8K3mH4NmLjYmIX17q3qEUltv5FAaG45Q
GyGRV1DKl1tAC+nWzYokzmgcxxavD33X+doTZfWKmhBIAGo4fVrc7Vqs+76VT4D0/LAbl2OvDc9+
YRKLNK6479WnoNfYozPtq583z6ZV3ojcfUhHdqi8Nj5Us/eelu9q8seY4NoBCF4K/XCAoSjbY+t4
17lj3GjoBiOw8911pTS4qYFxbRMxGieT5X9toEDsUnDW7FIRiuMxhoVev6zWN1px1c43JTTiqaij
SrZVOOA55Qvs8seB3FZWMfGkVv/ZlQX/ybeyTT5DYLzOjOoTOpH+qqttFQ2VKjA0Zk8wbfdOXT9O
fvFJmPLQ9nYVOZ24RU/GezcJr3TbcdoOODXDvoCTja6S6bxD/wJ2/0GISe4mt7oveKoOVZF9oe1w
cMHdaL50IDYaYS/HcSOLLNm7hknSIuiwD0vrde99VQU0zZxDmWj1McgdOPfJtMb1lHwpLY+DOcf9
x17aGatxAhkKEpn7NVuNdld3yB6T2tmpQK+OS1npkQma9VRKuXJrW4sXZZU/bCA/FBvfCFQYCHFj
2mqGQjFTq7RJwOF+smMN3VncTXnJqV6jhuEDgxtmrG7CdvBtW2zWhu+bc2sTTpr3QGzDB9ua8sg1
1WfYXbuup84XLtVnXZrIZRPWfNzRkbSC+2y1bsBOvIBTvq1d4Axi5ntPNexHhVepQ5atLZu+eNJB
+kcwMEJzLtrXwhibjQEfJcybL55mv7iV3kerYs9e2o4vTYHoMa3hboHR9TzTDIUh6lR7NaXG3l7N
Ztsm2RICFine8nHo48yGODvQEDl6gGrCBbYmwKSJ2tZTnxkbjLHtunxSvZjCuhg/OIaEC1lbDba3
avgOp976kDcz1Z1rVTtw5s1OC+Z+A2v2RnBm2RWcf47oTSmOThgqYLWq54CB0le+ZnAhYsZlQ0yL
5UEOabNLWmh0Y3rrUx5+AI4xbGfWjq0dJNBSAhOYXTFzbsYzJG9XUxehQh+8w5Igqf7Vi0Ue1xYd
u74zc6Vv06QPIhjD86OpCY4uoqWWVJO+Sxuv+TrzoY6e8qqNO/OVmsbQ7s1MG2L2W/22lZl+SJtS
HGu5F8tabF3RmDcIh6tt2g0FvAHffoZj6D77s/OezIa5QRoxxlll6S8VitG9MArtoW1H9QVXb3rX
g9m4ARjXRoVlaXHbZ2M813OGcDjobh1APFubNs7GyzA96xIwUThRzQMxNjrvSW/KSBvS3gIRlHMb
dvT4ItjqtR4OGeC1Dt4QtN3q0yIpFVM6Xl+ZEoptLo0lyhSlUM8ROQ4Kx6JXXVArFfqwJ9HDAcDr
usdWAVMe1mXDgcndVjy+Owg9AzKowtpOhQPDq07nu1x3CqrFsj16pCpvROd+zGhEwc3iG1+Jhtqb
o2PAefPMkriDIQbgkd/Ys1IH4oC2IpjmXcCDzlmqVldNkY/bIlfUlY5V35DsQYErKlCfpTFtRnI/
Du06qniYTTeuq9654nWW7ZCXWbySwrpPysk/Jn6Q0HNp5MbKqeY5gD1MnWl9LkVhRO7cf5sDa3o1
yvSzAON3I+cseany9RvHcXUfTBKudaoQcOcQpHZGqcYrTe+eTNN54WW7o1DBgQwNe9tllMOdvSyR
Smi5mXNHioAuFdw1XaM3JFRnbWvQd/ug1gy6jrkLIlpw+xDRt0PwnKQ7Dn32y5AqY8Mt2L6MBdt0
UsJo8cVA0EsGLjxaCld8pFdBnow2BZHCPPxWlJkFyDDX70wprW1GSPESQm1Rd6UZfJFVfYojGE5i
PovIDxtu+5SsUMsDz6LBNHigroW6Fo0st24wl4cRY++mlYm7lVpTx5pG1AIZVnB6PSM/LtmycjBT
DZkuRjMxBV4/T52t79M1XV6zRgEmLQpFh8P94s3glDMHiTkDgnQLTqr9UFlJE8F/ya9BqBaRH1jF
gdvvY2C7rQEoMpV7FD7ZdTpC4FqbJr8yxzGvILbRUb2q5qHyQnuwxo9LodvfxgLRPjiuconHySNW
xmJU/WrANym39uTNzlYNWf694SbzgI0s8I2ytF8e1zrwvKjSNZVsfW3ukbWXqnoF8TRstWXipLf2
66NupnbcQvh5Uktpb5iaPBTuwJoZqPJrnchsR7DAvPEJhd7qwmVi3bXOU1KKq7Ifb/3aUMcKjBox
o+wdPKvVClu2hjHs+QjubW8FlJcJmUEhqJpnXkg91ZVoXsvT2mk09S1c83JXiBaGVRYYu8qYCMsp
kBR9apvWOvZObW4hDzbLBjJYsjecZMTFsKwPZTLKx7y07BsdqPR20mzMq6Dtw0Ur6LJ3VVsRVhQQ
I9N7+bCRa7ISzLEYrIm1zv6rkRVQE0FdjxE0S4304UbaoZ1pp6SZIdlJ0GEQnOQp8b1kMwg9mETA
tWRX7bRkat/IwDGd03cCQZ/15xbcGqNPwMx1mHCYjAcutX/N/p2Vu9xU94nTsXqV9yBV6zgYszly
6F+GLVEsN5Mz3Nmp4Wzo5IwRZCk3XEftloa7R5DCFHVjwsLLHGGnORMoJCbBMaEjmzYnYQQWUxRo
EK20uXTAzgayvHFSDKCl7J49mRfZJoOCyQGhdd9Azpt7aElmBGGy304BWgQAEcM9R8qE578u4jrT
3C0+b95Vn71OC7uf6ZA6oRmlHtP6+LZ2pn0QMx6JZp2ehyXby6mfsIGBmgr8RL/rTECMVuDr5Idr
JdmHnr0XvaiiJSvl0fLze7cnW7cZx2Ni67MGDx8ON4FC9ZauznDjdYX5ZQbBmWzqoq4h4hOEFQOM
Hx1aoW1/ZXsKearnaMCXle5/c4uRVJDFbF9of7Qfhd/19ydh2qsfEHHDledcTOtuZ4zK+0AtN0Wu
JISQcIof0Mz3PkvVPliN+YOzpmsCMKtKvtCDpcKnX95enTyRuHJY8/Rw7DwAQ0MpNFKOUtkWEEKD
vv9e2roxb3UjWXXA0DNjx9oRGWum1QZP7KWDE2YA4wnUWAaOwWUDwOzQB0vbUHTrjFR9so7Wxqtv
eqcsnkp3TLZgWOR1RzjAJtFPE5ck1z4vbRvNVU5Ae0ZMSzdM3b2DjDyuW0P/QFvE41d3QJXSjo6e
43kzTXRq2SCSM7BtsK8s06cIViY9cySU2Dgt8QxJVZFFA7wYINiWE1AStar9PqzqSfRz8CTINWPb
TZfCC0m0AbNsrK+1mF/WDs+13ZfmLhvzDQZPrKltT9bUkufHtKEnxEDnkFa59gx2MN8EOb1L2u5l
lGdrfmyTeVPXmb3rUeNFMnWKvY8bddfBAaHxQhTdgQp2FODXa3fd6QS3ZWEDN62jtTMRZaB8IlXs
bhrS0NcypPpMVbTbprOWBkZTTR+Hjkb2YMG7vqLoI8iqcJttn2ftA5gVNBte74Kza+uOKTUNDzdB
2mL2d5gybSI00MU+6mkr96pMOUQqTivNBp6YOmrE8pHRoC/zrvQ7FeJEV6E+ee4rn2vd9SfMM4MK
p3m21rG3TieW6i7RU6C3xiqtb4sJ1iuCDkbsEYJiM6Kz2D75y2mxLPE+YmK1Euu77ZboHickMnHB
DIHtjX7JizOX3mu/ZN41E6nmpkIicM/g0zu4pmU96U6athvXAahLVW1PsM+rLvg0Ln5DIaPV4qCz
w+nc23pOO82laTc4gDSgUTeEK2qGbbzb4POfBh7h50Qv2u+lJ1YO/kFXfxBSR3qlQI2uoQzs8pvU
HP2QzKRY6ExGHsiWT9JNmWkd+07jfl482/vgtEX1pfLWhI4p7M8BUu4rgTYjp+Mhrd8K8uePbW3z
ZzEFtCEqjQNTNNeKULG2cR6CBph31NS28da1qbmfwIHWIdh9967UCeyJfNmld+Av6e1m2u4U2fCs
d0H/vRFm88wQKXmp07r5pPHsb7WOK48nXJQHl0pyv4h8fUkWUl9EavJoLnnSfzKV5r7RBbY/V1Cw
orFdkRBYOYjajhIeG4RHjrRtHFvNRmVYN8W29pb5uwmaMdLo20Chs+2w63wb0KwU1rPm1NnBmvXl
Rk1T8KkwwAnqXodFbfHzo0ub2WWO0be7tlHJ20qThQegqeQnX/TJcaXWpqheQSmUFIBYO+ou26Wj
88jmJd5HiMV3rlB6zLBBA7HoqHRLmVeQgqp9xverN4AfWZD5f8lmNNIqHtOyuEXH0RP5xFRiazUt
KTWeD512Tul3OTkphqTs1e3D0pFvFJYLaEaOVDQhbbMrbsx+qg72tPiHOcn6Ixlm7beCIk1GDRxY
CSDWq9YQ4G31COVY1zd9WTc3LBg+TEyoZXcklCkU5241m9FoSk7RTe2AQhR5VVJnu5751SjU9JGG
9XQHl08+kGXTvMPUrm6ELsrjOiTu98B2/Jukb9vr1PY0LTKN0fruDH3zXpolGnBtbIZPAunJa6FU
5xEE4yl34+dyEBEsbjsJMQ24gMPdYJMxIH3sHElwLK77NQ9B2Oj3GD/t59Sr628iVc9GQFdUdFQk
IC3XApsliSB03GV5twIFfKs7uE2Ronc6UE8RyuPRel/3XU9bzwnGribDb+YiD+1IgaG57aofi0za
9SbrDZyaak7yW0huTrNxmLqyRhCet7PQdF3BuFXepqRfsZtgU3O2FiMMddNnswFvxCC69TX9ZpQ2
OV7cEuatPng07Ly+XyLMC+nboNqk3KSqe0V12xab2pPZYaxVc5/xRZGRBdX+iawJtWyJ9/G+URrZ
Y4iqcPlapJCSo6pqvWJ/ylGhkALnSaTeNBVdnBjsmUQhdrMbeYFwPw9N4GZhS8l/lSbW9ARfkZ0t
cKc4XTW69powgmPqLV+UAgnM5HiaQ47WPCfUSHwChgkGASSNZMuljz0zx/E+pUQTfiNVIqFl2TsR
4GqkIoZxDf8dXpnybeWCRnHtbANHazYhCyoGHhY/eDT6cRzCdoGbtQVnWzPpMLym39pZTuusM4qv
CVjFg2fnjhlVaa8bG0/X821dJfKrWryFXdc22P4Z3SxXxAtVkQ7j/nWVTB0YYnB4q1VSl3tVlda3
our1q0XZ6KandTHiZaxxJpSjG4FbXnYuPmKGeb44TOnAoMxjmHbnEl9EECEQKRV2Sfd1BYZHiQdu
66XwsnozAev+P9SdyXLdSJamnwgydwDuAJZ9L3BnjiIpUhsYSUmY5xlPX9+NiLKMUllldm2quzaR
GZbJGXA/5x83VVz/skbpnZVhe6cUtdX9tFoULvFjd6el7dqbZaE6Da6WHX8hAFkLY2PA9u3ZbarY
Z2uuf9HvYcU4LdPkPnbVXQ7vuzejhha7orCSrUkRzCEtZDzu4O3jXdnZ76oiK8vQqf1paKAdalUu
iymrH4Oy0mfLiXNxWKfKA/y1m1eP2/xiRJW8zevKeIwM818JMa7yh98VCzYqKC5u01a2fZVP/E2x
QA+JU1M+5V53eshTNmaC+qv4Lu/rhHubUfWOjpv0GSsvV+k/F2L9Ya//T1/c1bCgpmMivPlN37Oa
+J9J6KZpREf9nafr9kDDPSyCgLa3pllsQ3aya9FROv6YVq6UdhjoeR0zSahv95nVNGu5bgHYWQtK
zkoIJnKdrd3EGA/fbMr7kgZIYJlCU+3CjboeWm1Xp8lO15u+S247c4SqoPtnZ6HUyrcDnZScK0zA
3PW5AbCdmftizgh6Rh1EKihn2dAOlLtM6mm+psOoaZH3TaI/U5wKW8MZ+0NjcOCnVelUhLJfpVJU
Cv2LX90fJrXffnXElHikRlom6ODvyV0FjxK/PptpHQ0le4O4t+15qbZDuhxLiWSJStTDYnnw7hLx
6znphmXn5QFTwFVjMJl+mEQeperxSKXoUOiAOrTxSKBWvK1m40x7CvtunjEAW2l6oAXwX5Uu/5bM
d9WseZ6C0LJd/ok+56qc+9ujl3CX1KNHRLpo65QVxxtXOtLXOT6vRv8osbT7I5fzFjsg/gwhhp8w
XsOxxc5/mADclCwzXrFJAHug2/gXz+Z/fi8QZ2qX59KhGPV3zTDZX0T968LbZxKgCioSC70Iy/Zf
fJk/PG+//x09nHbXV4Cj/Xc/Vw1hbHchnWXQnwvFviYdVdPUDj5Wcf1hssBzRmZk8cqw9Gk20o8J
QyhZwFOTndHseHf54mbIZnhZalUWd701iGWThasR2Il4qvuse/nnv5o/HFp//545r4VUSiCdtF2w
n99kmrTnrQASPHtjZ3IorGapto4AHEzDrKZgIbZfvOyOooHqjXIeSZumKbbxmMenxV60j5hh+aFS
b/4z1esvGfRfws7f9Na//ev/jfz6Jvlsq6761f+uv/4Pku3/RSJtzs5rRMd/LdJ+fE8RYsfv5d8l
2n991J8Sbcf9YjoaTSfnCWJLh1sA4QUKbe19IZ3SMbXCJ8xf2+Yl/UuhbYkv6Jg9z0VMaP+hePuH
Qtv6wlCueL0tZN1SEFX031BocyH89jJKU3qO4GX0eNoc93fRaSXq2SiNHtyHxr2r62amycLMFaoX
6GN9LOlwYYWfR+4OL73SSI0219IvjIzW8pa6H1QpkQs+mHE3WLN10Y2XIeVZKBoA2wcvpE5Alcza
Q2EOF6+Yd4OTWiPQjzP1+6W1GCix+q9BFCkDujax0cm1U9v6SVHqY4xurw24m4hk0Uuava3JPKOg
tq54nwtdTEt3VWDtE2UYXWaagD8IGh6CiHFtP4+ee79yztDD5xpBwZiLpzqDZoFrfBzNuvkcwYbf
F0pTimeRh/qjYNvgnY8iKBuTpiwMfWHMGmN30Y9ROOk3MDnC3dkw2UZroDXkj2Mxf+04RffJolrz
IpxmeFuWOvTrdZnf4CFm8lFLUd8mS9cKv4B4GDe67FcKuk0zFn7eG1Qi6RS9PNMbmSibsZUACFEJ
WFu0koLWRQ4egKO0oneBjziFYVqu8E4GL4MGpG1vtS0VHdXUT276KZasgV5pnLrOYiUfi3FYfYNA
COvsjkuHNQ/QGwxclu3WBun6Ngw9Ih2z7zt+gCy3642Y22LXpGX6YfVDdllTu74nr8X+EUs5P1OQ
hsCD5hVSx6e5KU91tpLfRFnPHIQIIl6KDs/JuLoV5YFqcGCRl6aiWmwd1EsMUfLSkNMYgXp6ibeB
6K8epQYSDPgO5pdx6vP7Eo7nIaM3l7UW8+khTvpub+G9f02j2VH0Y6jEcf2kHGbLd51h/Uaq/Nie
NFG0NOoksyF3g0Hj9cGwx/RddSN1RzT7RtZZwqO3AOgCc+UiqR8qOJifcCelbYAJagEBwcc8buuq
A1XrF2fAjL+43Qu5bM4KCzvNbym1GJc08TyEOB6YYDD2YVHzwC5muGXVoTBHtklp7aeiIg8xnNJr
42BDbaUvKgPmLvWGC6Su+TB0k/ucpR3t61nMVzWAryjKg6S8D9Peyh8pC6og0TvrkDTaupfx2p+R
S5CImHelKhBguCUs8JCdHYJ/DV9Wrf6se+H4siyQObUYuk5JuADDitmCQlflFHhlpd+8KJXuppAJ
utZqMABl6JfzJmB6M9/pxmyPMPl9uqvwcFCFLIaebYEkWQo0++iRQQmFHdXX3quYkuYbFJL7oUfX
PjvTyNYuDD55OnH72pX7bRgTN99WFhvv0kv73VGJFnfIOSrNDjNRcU4T7nDXlCssNJFs9qkdbVi2
lfaClCmyHl5VFXcfcRqBi+fU0eb7lnMg3ZnZOlgHpG2k80eaenkw2NEakN9kTnxu6mhCqpJcpXIx
vrqR2lWvjrczbSciAKDvig0J3tMNVfc2CgTUFj3lqfKK42EHARQV/YLEE56/hZtdr123RvKegYwh
lvPi/MeCLniXepF1KXnD2RVFF3+2WhMP7NRqPwuxIpgdoHvN0LI/26Gg1XxxtH2eV1pWbqOhGr8b
K7UJaYm0VxIbdHFlGj3zRCGEKzyeyrJdqx2XyfKGSjO/BRwW07bFaetgSojMvSJ/2wuUM36mrT3v
nYjIDngisIp4zmZ/SOXQnek8GPUlyvX6lcNGFU8ZaPi7mxruLYLVki/gNPTVRHX2mixWOFDf5jqw
nXlhfGvEPNyipRS/himmJMBNSa7eNH0DGcT7fRHCrH6AqngWZ3tigvNITscXSlBSSjRFAb4/jB0o
uU2NaBtM+BJQPZSrZd60ztIfHBKrn9xQ0sclp2HZFANvit11fRl0NAKeLZV8j3pZoBdJyIw26+Ed
Jqr+OkxEKbHni42alfGV4ouy2E524yDbpTAr20RebgbDso7vykP4dkhmLBVeRjPrZsQFdJRlr44O
o9drj7KjDmDU3EDW+GXRM/Z28lXYBRQ6dGfy0nR6vTK6bg5k7VnHbDaxGmb2Cm9mTnR1DWHt3CFU
tr5fG8LuTZR1O6uZh5c8QnZzX8Q9OuHejJQGkJnK7ylFcAfaXWaLDalOfuhBx9s4aSuXTp7Gm7fj
SMfgU8R+/Gt2ErPwQcqb7wpdIbxR19GyBV45bJFWVz3KrlCN6HIdGhVHwiw2JIG5NKKu4T19E6sI
ICyi0Xd7h1PLNqT+1lFrx8WdhQex0nZuFh7YmRdSEOo5M30tJg24wxjjzEMJU0t3RKJASHKY9cMb
qOMUwmXT/7ixqRPJaRkeUJ65uVNersFJd2i5HyELZx8hzLcKOnETRjQLxmnvbqpEhefEQuuGVM3+
MccpKHzsuVtToTLoxxpCbUlgiXui5Bvnp5qTjz6yjb1MkDv1YcRyOnQJQJiKZvtbnxHDG1Q1JzHW
1Y78Q7OyJ+toa4VwcbGbtD5OdhhPG2VQ2bslokyNiLEXcMDIyYd1N7cuxOkcuz+qqqnijSl7+RKD
V62bWqBlOkxZ7s63K4/PD8qzaPacRkYdO86L3idwuLrYPZlj6OjSQ0aVcmCODTttnI/nYe5d3+GF
6EA3kvRY9bkIYirpHjMl852CPPPD0YPQpKjxl3tFd3PXoopyXboPo6F1L1u1nfgT3Zj0eqlQ34Il
aDa7qZQBKW+gfKItM039aGUYz0BGOS2S05hUWzcbmtKndm1cbxsXk0pAdMYQ+UWdxstVg2HJYGyj
mcgyA9moHFf2fbayKqjkYL2aTpylR4/K0Z9uE6ID0/nEswNXcCwAEq0tJwKJvMDG7t265rQwrTDy
N9Nas9b1Jmx8L8l8L+rOOqm2Ra4WjnH/UZs9ifT0oS/fhYkFnsaaHsBuMFyY7SEKV2dfalkkm14M
zKGRztEXLQoyJuO3fCPpRrZQAluORnqjTxnI1rY2KxeEVpvdC0MUeEKGs+uza5b2daCP65QXyo39
0nSpGeZSmm+j1qPnKvdaAcEHcSuhwmR6NzgyjjeWVr1fayo1fZkhirmMUVIcVSvdlONMmOhnaRNi
dHEagLYZYGVj5sV6o3Je0+3sua5fqFw/TPj7XixtwXUrlGdH13CcVyjzgd1fxg2ycOoYfbokQDSH
hE95SSpnSe5aGUY3c9q1FOIAZr8r7TUPZl1olMUt2cqhSb7iJhpX7BTFYPKc0HbHz4zwR+zGLvVb
Kpj8sY+TiZBB1T4our3O4NFmtw1juSLOildFESlTMUcGBXn7BMi6CdzYdotvEF3VT7MtzOQx6xeO
i2i6TkdpXK81eRd9/s6gED4u47xEF7euEaYijliA06UXFUFWJE4JOY1HZ8MBvfQ+ytb+JQttOXIv
i/5uqJbwjKpixCmftz+LQcnHKRtRXEOK5w8x6drPZoMjwxxnRWi95/1EciCeF8Odzq5SxtsiQvIB
EYuuD1OVDm+cv4wLNhHa9rZwO3jiEjXIZiqEexRltHyrkgW8f+CO+aZtWFoEB3aOmCoXabavaOCC
QfWsHO04BvicSVlk9JsaOVNMl1DWgyrWLWgpxJgAQxhbx6QzdY61NaMtWsfcbtDzcbPsQyuOktPa
6+ysBnvBlGZLMNMkzRFwDV7u/RrBxT+7lvAKGo4IUgs6dqkXfKJxvNXxNLdyL+huMbY8vbF9SuBl
EXYbaZ3uFNp+FGfkPHjGewVhcFiofHYr31tzleJHSNd+3q4j645vC125r808SfdRVcwle4p+TSqU
s1kqB1hheFclLM5CJu1u6q9NwnPuBJFpV5T+ktF4tHifeDBXwy0use7prx8se7Ru0bkysKL4pATJ
VU+C+2Y9ZeESPtAm1eT3OG5WQmLR6kfmJSdXEQ1nMQ15ULjRECC2FtpCyTfC9NCdCQpOgSQ+jOYm
XivGo7pKBts3JZTbbZ9aZXhSshvjOxd9t77TSRhOh7RLep9YyvKB6s/GuGBMTeunJRfmuveaRVm7
bl7j5KhkmqSvSVS3xYHeLxiBOnOX7nuxLuLdQ62lQd3RCX+nvqAMN84cSYchCWdMxN99Mlvksl3H
mNnOTbKVJuxb7EeLKb5beuz6LZK5iZrPEO9pmKjFu3B9N9Mhc+VwsikRbAOTsslDJcxs30c9s4QZ
6vlrXJIvdVwSnYpd3NYWMmB7iNKbynYIOV5xb/UBtHW3a4x4NPw+mvR+gdUITxYa3gE/IYnOV6+D
E55KUPAGNqE3gai4GYosoFEz797mK8FUN/NS3OQWiNzWaGK1Uu439W59gqNavAMCLVSHvSLG44VL
SndHe+5LxhwxTZcRZSs9U0lCTuYzdIadfsC+jtVDhM3OL3UNu07bKLis6PR4nzYezCHDnb2hybV2
/I4fx/YrkKn1ICPXGc+xYa954Ib4zzcQLf3OMdsGwtKl7yIpsjcvNUImcsSY9zGujM/CDuvvEJZe
vMnFep920WM6NmLw2wSjN8f3lJtXujPdZxRxxX4SUmVo9gXXVBkb4a81YdY7IstkMwJiwHrU5/Hy
uUStZR27SUYMrGLsTk0zDl8x+Gn0KqifWC+X4jhajWHTbZU/DpRoA4J79PRGM28sU0tIr15IpzM6
MiMaPzrHHbA/UGesuYVaLFELqzCuuq6NNAqZJXrpIivi7+Gu1IPmSSTvFoSZ5o0nSrQyfDRiWZuE
T1Se5JiXsI3xLLfISub9HJXOj4ajH1tOY3bPnbTZmDK6+N4LQ5dHg6yn7bWy4eLUeTds+2KVepNH
qs39tVDWHQp867FJKvvayVLgp1nE+mFJfh160leP1dw/8Zv3DjY93nx85cgqmNbuWItyfo86Eb0g
3u6/LU3UE0ICO3waLekcMUItcju46JSjbET9m7W0A2+dCgsvjJCqBYLu1MhvvWFoOJcst/B2Bj/Y
SxNl3pluMwiwOavAlko3xHRRs+z7XRvqxqe5LG4pjiN61Z8GN+TEbqi8/gOy+x9DN69f6PNvqRV/
feH/l+kS2Dh4l68JCP81dun/zOPk77jlPz7oL+jS+WIR7iOVBhe0rv/579ilo7+g5LLADKVnIv53
SdX693QJ9wuVtUCdWuJmF3TL/gO7dL9c0UzP42SXks/430qX+CNl6O9YuXABWsFVpcbCbqPz+J3k
UHXBt9cQj0Xr+aaZ8P8OYzS9xmM/3lnz9DQYrfFYWlhs8P/F9XnhyUbaLNkr1ZTmbwVa0nca+JJj
mHlDwBamtthgMLTYfb9DXKAeZi1m1OBLTFHgVN8zAeY/U60/pqHT/rR6RtCktCTryq7ua28Kn3Dr
VQBysvtmVXbxXrmkBxsUkMOXZtn9UqnHrGIhIEWPuFfcZy9WqkUgUOFjdPKoCcz66mtVea+szZiW
JiStzGRzoA1j2vMiYsQ1TcywoKKgb81X9uo4iK8OXKvuvUfgXATxQ998tQtyhrsIsUKE2nbjtr06
JGHW7HvhTd8oYlOHzgzzXzStl5cR8v7D1UWz4V7sPwbkaU/pYBZEm4c45m1teT6XvpP4aQGsBggc
yu8Z+8NW26g1RePi55czdlH8ERWNkU0/f6cmAYYxhwxKQChH8VZJx9uIsJ7QLkSyRVU2qhvV006A
sh2owDXy7hw3EvWC5a71iPaxArP5n33b//6y/28KnJGYLgj+sP4pn/H0M38ncaZ8/w/nwj8+8s+D
wZVfGBX4m7M7Q5KKa8Ltn6SGc82W4d52TY/TRP3x9v91MEjvCxwcPIOyleniieY06f6MnZGE1XBi
ePCVLuJ/pfV/h9TgM/5GamilLKlJsZEcC5b9e34t8TJJZ6W0Ynaif9QMf4eiR8BTRWrYeUYx/Uzd
pdwYsKgHHtZlSwRttxtjbR30Wli0eqelCEY2hHSD2lc9dAxLO0l397En4ICzhNURU6W+sdzIOXJl
VrueceZHa4bVbs3n1OFT1v1Hl4Siu0EijSijnRP9iqUvfunrsrtpKkwhuNb7JIR5F+7ZmVf3mEwT
Zs45Ul5+SFOBPjaa8PwMtjHiSJ8+w2Rtg6V0z242ja/aRIlLRb25bvh1JOtmRMgGC+8mTIwrXoqi
tdvj1FXpc1k4Nkxnoyf2s3zGVmPYroFIiFXtLpttu9qmtqxLPzY8dTOELgl1M6alZ/Ra45snXA5Y
0Kf+WHtp+AQYQtaKKTJ8kQDS8e2StRMAtTFrvEaxldzB8I8vKI2TLMjaRMB5QxOM03IrQdsPCbXa
nxUdYUx1dK5uurzr7vpsNmJ/KvNxu+RSIeqbrEuPE+MpzhzxalQlmjK26PG4NOP0MFKpE7RWFP1w
l5xfeEStKd94bjHb870PcYn80m0PFU3tF0H0e8xcn5cfeqAvl4gKG/AvESbfJDzsRlgxUdMilXcA
YGG5zZxl8YmTj3I0m9SiAtchP9FuxUorW0yDoeuP3XQiQ0UE5mDSbhtN8eNA6yUFX9EoN3OzlpfC
UGm4TYZ1eidzIT1NizOhWX4Y0nCj3drYa4qLgyh3HD9uPZ/O0crPBE5rb231wTGK5KXuqt5nFW7O
Ej34o2E4Bbvt3NzBrUf7qsAuafSTdRd7mQhyN40OeijEmb9oeDSJbUZBnInvzbqup9iOwvuKpNib
JeVBbavJ+eipENsJa+6OWWXGByK2nxrSUiavJd41HeL7LJunrem19TOAaLiLBtd+T+RV9iAw1UZs
IjuNSRfFWvdNiPqtiBPMss48svuPL503Qk+VQ1/ageMhvSxI4mjn9L42GRljddL1LnLWaQOENW2G
GVy/GerhoErUcltBn7GzqbsoeeI9cG46CfjhZUqXB9HP6Slnun/tHOE+AQlVmV9Z0nL3/J8SPIbz
VUCVtPmCuVw0h4xn6lbw6+s2cw+nQ+JPciw8q4b7qbT9QsabfavoyDngXQLRRngbbkJnSn6JMa+R
kBW4Kpc57D4AwyEHh8H1npySLt+0TzgooB3aacNzstzHSAcf7CbTSLxCAS68utF9PTdU1y19lDzO
rotUa1quWnJPj29XifxtQlfZaRGluoWfSlpEzuPKZ8obPx8H+cic4xxcVLneJqzV+OR6s/k8FM50
QMi9fHh5UjwtvVm1BxMB1AfPd/Ir1qNlbZCI0FNcLmb8LsMck2ADSQoOGzvOXWo3tLALLP0bKy2s
ZpdVKQ2xUQODcuU99zUi8jvwP+tphOY9hdfgvqzorEtrwA2BrJT6Pk4GWfimbmQgWgDa/SCG6I4O
efkArIjkaEr6Sx/XxWfKI8xfNbTMlw5i7ZJnGHJCtMbYRXVylmnu3pJ4CjKV0y5eEDURirMOa3nw
KPw6KzmmF+lmGdyDUkRytoaUT1gLrxEmOjeYoqRz62R98eC2kXi0zRmxUc38GJ/qdXKeo7wQwOxo
Oj+ntVq3ooCBcESd0hWlKJoY3FMKbMA7nwJlwUaN8C5Gle2p7Gy6IEvc+ITXNj4g674VadsbG2ko
w6+tOd3EXi8PsyuLB+JkaGzgxQ06gRmu5R8Ul6/l124EHUUbBcOTeHdjmkQ35NW4n5nlJTdTFGY7
aVbrqUE5fI50YR6ojxYf2YpbYhzVjM0nxBJYKOfchQt/QzPSlxAvhU/N2LDlLCrP5bKk67ZSwxSg
Bv2QXV4FuTRasldK/c2Im512h2/YT+o9r358lJkO4saMfSPNxh+YxX+m6PMD3Rm40nKZbMcKy22O
Mz4x7GavBoWvQiZ3aGscHxjaeJBGCQC1RuUxMsKTiFqYjUrPIuhzY3mlUh18IJRR+2CGSCT8CBNl
0Nqmv5Y5DiBn3hXUtO8QDb7mYjGPed3js2iTj9QYp/xk2ibyshrS3icrCUpVDOu860N7fKSOML2Z
R6PeuVnd37ameXZc9X2Y6wOt0KhlOnDNbmYVLpZZ3rqVScU6KkwEii7CcI1vi7QAjzSAyhnSMxHa
LjAflD3RJAQo7ZNY8F8Hpvh9Y6WnNguHdBsqEqH9NRbYjqWLhB4efqrR1uXvxZKDDeZ6eLPyuvPA
WJfkJl16ar5j2YhtaRnNY3Mt91ubyc2RUbrMCeM8nIs4ygqolzbyO+phkPcb1s+ix5occMUrXFR1
HzPMGFG+rSeCixDld9wDxJlW82Yh1LTbrnmqP0v6lu8c3U93CLDRfJY5rAMtdBuCchbciOZNVbl3
/FjkJERqSZ+sTjTWNvT6qdrKcJpfwjD+gZZ2eluVxiPS36jYHXZZ16TvHIjNY6LBziugIorKcbTz
Q1UNgVqR+YCuen0j8Q9bp5PPp9Qi8gHikAQzRKgLEf/tdOO4mfrozCz8DpzQbCLZzwHmM70pqGna
tVbdPlfOWB5A+4OcTIsTIMpwT25W9JIpBCBYe9Qvsg0xiY12vTMxg5WwTWWRHPIefww+zqu9CF8I
nn5glA2yzPKeO2DaD3mGG0y568lkIHtJIAZPMyLSU2O6kY9kRBzrQvVcSI66rCNe0i00gXuMW35X
iqiGT7NR4uBGfeeTXRLiVWqAbAqp9lms9rjrnxeNTBjEwnfU1Gxrq/XNTiHRnUKSCgDoMHsPAf0H
Py2b+AxV8SgCWAGForDhIPaLHmMvQKkP4PpgWI11AhOxj1m9sLkVYfWuOM+2nc1IoboCHAhx3q7u
k4obxuw3KWDyA8k78hKFzbSDcAlvygl6LFlCc1fnZe2PYbtViWXeRuNwNs3ll5QdZraRawqvF9P+
jyHvAntVS7YxGbVuvayydwg9m3NPwfbeWPECdBO3itfK8akP2/55scG8ZtqBdiyAt9RtkwVA5CGE
mE7htJB5d1NkBVjF9Waxa29H6wCmWsua3/ig8ZIUzvrRIk4MwlSkO9o1y4vAAvSN37dbs3oOaBHr
OnF2dZzZgaIB+kCqTHxyQsd5qBFdbMKhFuyNYXZnKie/RZMSPgg0EZcCPuMyxkZG2lWdKWzXBR0u
qHLbC3tI8YCZQv1cUZSggQlLMANTYvQ19Wloc/XTi0PvRuMw2SRY/r5abdOcFXmc0yalQOTNkEV/
w7GZH5uVWKeucT5hSr2DU6a5H9npcNvb0n2Dj+6Dkpxe5KJc9MxFVHfc1EsDD0znT4IPNcL8Fat6
4fSA64zWudzlrE4Hj9bYo6Gc5TFM024liGs4IWMI/dIgOsOas+WF5t3ybi7i1wrk757dOoMFcZsD
lrAEl7e1twBJgwVhzc5JtAyKljyKJZbVbeuk3HR1GAU1c1NQCg7nwdNJih1efSNSrOLX7BZ3zcCB
x/xYvcZlor7j8MlOMip5gNvORqUAxrtZo2Eg/4ZU14fIBIYsBg3EX6/z57XyZ6sT7r3QNfnKSzfu
Ood7fHac6Ew787Pux+ibi19xi5RY+AMDUdtGxzXK9gXWv6Ms8vd5rMZ7blSSvyxGXl/gxgazNXwh
ltpnzcKfW0+fSTINKBrq4oQnY+GxHscjuJY8OThWA+wHguwhmO6J/gBPoK+qmzyF+f8xjcL7QZqX
dUyvVl9GWJyaU95+LsiHzvmoo25jY/nYmRO0SFhMInArtj6UKvz67Mm+M5S77Nc4a+8hc0pk/1X9
IXhgbsm0GMFa+2mTmDjTWH0YJxrPOPRoHm7whaJDiZLlaxgmHfNCmr9n0lv5UWqYknKNP1nGzOMI
7eiDXxPzBLnybBjr9JiNKywgvh35hh7a+F4QbbfDi1Af1Hzl68hBqb3tOhcsPb0r71uEa9tw7PzO
RTEHbetlO7deSFzwpkqvbHJjgseYv5dCHfCKJm7iyYJzqIwSaBbTo2XATTVcKRU5YAgVqi2Knl8e
A//Ye5eZyLQtueDbeSwJ3IADZTwVp0zj9C+c4mczzYcp8p7ozuXTyDG5RxxlbLK8XA6d60S75Zok
NlpVf0Rl0r81ohrf1xH2xHNCjTnJ9C7VUoWfBjNTvlmGctiOrUIrqyM7wCXr3FhrXl90bxdvjhsO
zEZKHVG4N3tUCRgQvGU2ApmT24OTUgGlEakzX5qy5IhvEhTJphWj9plwdDDqE+UT0gH3SdKftjdh
pzDu5qHz3dOGdjYGIWAvNSNSUHuLR7vSmkOzjcl+wdh1wOQ2v+syLrg7sOZChi2o5exyfYiQhZwy
tc4PRtfhe1NQnluAVjMIM2c9riAVjx6Cn/doCZO9bqf6teZ+44jvrKOz2EVAhlx740L0wD33tQ6G
XgrfDJvqoVe9NphYxvanWKPxiVCFiX720e5utEJkhaqGtAtkUu5bTvbW3unMX0lWeidIy6upjPCD
e4A5QeKBlbxwcEBtiW6IfYIghpvZWc1TG5rmzliW4nVQGZPr6qDT43XfxH1e3YYAerd526IEWTuy
CqoYQw5VcWZ3nzl9fcdwTTYG0oLlGt7IUdNwiT5GVYN3K4lVfqw1MbnoNduvac0MSzBNVhyIPbN9
jy3mQhJatG3ysnvWAmNtdeXUly678qZusqcNDQ6NcL30SIKVuVHdtJ4KxjOYnXV6hSgfnzym0IfB
nLhN1tR6Kcw5OXmjTD8iZ+AuIsXkVq2qhhGqRXRp7VTelB0tfaQ5kYqR5uoo6nFuNittb9W2SrV6
H20jrlHuWeK90JL6UP6O8zcbKgSsJfVoQnV6WzRBBJh5NtZO4mNz2Xab0Fh34J71Dfd4/RbPYf0y
Oo0K1tpmMXD7brPQt3eHftR91k7mnNxWkZg1jMqfDLO4Vc3CiJUCbzcbJ03GV+n02lcije9Cezb3
bSdXB1VSpt9WGRoMDQJ3Xe3mZyNTTJ1Jio3CGGzMPU2Ywqtp8g8W972eQEDi1CDef052OHT4JCmZ
liYk3WhaBLO5nK7ZZGTdtrxiD7Lgr0T4mcS6iY7WykVzqjKi+4MSCvzDsNkv5jVlXPIyjQjOMZqi
B7OqyXBKonLLT814a0CJJmGa3yS24ps1SbdXs41a8X8W//3/kO0xCW38Z0zP/yGPqvg7ovvnB/wJ
5nr6yzVDGf4E/xX47LUY/E8w1/W+OMSH2+gQbQGKev1f/o29M9mRHDm39Lv0ngWSRhrJRW989vCY
58gNERkRaZxn0ox8+vt5qnSVWbqQWpsGGmhoU0JVpZcPJO0//znf+fuWJ/gjklhso0DyLyMs/0PM
db0/8K77UQjJGB02cJz/RMyVzu8O9dAjDR3xSmxyosDjtc5i7y9ZljrhIUJSVxxijAFMFKiEznZ0
YpHRrjiSkAzrpbjFMoVxIopEyM9JzQPotSFrynUyBFOP39UOOnhAg7OrmP1QO7Ak1wdaIbnH1rNn
HcKom7au43hfM8lQDDNVkF54fjHCnxtxrUKdTY+yUtvMr/pbL63cu6h3JOnUGX8z+JpL4yIo9So2
V6PrPYRe06/5BOe93Tjdpq7d4SrrSfGRLM08wI0AdS+Y0NdBM46bpdPLWv4c6QeQoksX1rtgzrFv
5OOZKMvwVrfRVaws5xqQqNp7SwL+J01PM8aPDaOyXC92H+1qX3w2QB/Weuo/qhJzet6kIZqDj+3F
xPMxa+rhbokifZGnNqNeKyGAzQ4UFWd4D4wVHuzA7nZwtL2NjnjNMJVf8RQ410NrPpdx9He2mYuV
l1nXEvRDnS3fIwKalhIbnI0vphUn3B+XXpBthnm8IA59HqQrboKt9YELWO9iIz7JaO57Dxd7LufD
WJCucrV4VNGZ1pzCCPLzM1hBQQ8g6PpSJNTcDbimcEpcZhiwVmGwgSfeIa2adhspziSAG6eTozHZ
uK1zUaKL7ufU2xuL+w2g/9u8a85WYnOm+CikFXgE32dtFZuyk/bdIqR7gwWEXCXpxm9l75YzKsak
PnBqxPgVDX8Ch4g9XE/8u91owY9sw5uyVMBEjZx/dLDUVqOXipbwv1lOeVPqyy7Jb2ynSX946OPr
fOa54uAUWJVUZq1ILw+fDf2o1NNZ904bXeQUjq0d5eQ8Pi3ck3AF4gOR5tu8DqKNlst9mNR3qOHA
r3Rwu5SpPvpTkZ7SFlzrys5j9zaa4OxgQvnACmR2bNS+lWKcrvrzJOEWeFcnzsH3QTD6lKm2Gcp8
CNdGEt/NGr2tjEA98qr5NOTBjWN5/v3AdOJcBgGVpGtIg04LcNNKxbr08nLcUdUypmur0MpC4C1k
S0KfN7spIDb0K0AteMnlyNaUqTIubZLhmeQNk7m9Z1wlj5sJKt02Uyrg3WBLtu31iLcjw3FpyIfj
qJjVZsHEQ2bXqeNgExexJt2ROQj4o4W3eUXieVKXlpeWw2F0Ig6giZtj6aZZK21erDzrkIPpKB8Y
oMqQmYdKTEymU1hN1z5O1PlAf2s3n0DJFHoHLApwM6ygLnygDsyvj7lfWPUPGs+WiNfNIq6APimo
OEP1Z6QFpEINYIwav50jxcFaTfBT94mQs7uq/VbLLWe1NNnFpRX2n7U7JSXxc9rRsemT6F9VbeTj
gcSeVmmumGjI4ttOdeHMgd9J25WcTVIfyPkDkHIn2AhrmRmSDH6NuWMT5AUfVkCMErP8lmFVkSSw
uUKGkEshRUvNM+C5faaGL80h0dukiUaeyLPUyW9lnZXZbhm9KtyWw9Sr6ySv+Pa9uUn2Cjr1sAWA
T5KHCNEiNjPiHa66MQmcI72BQ/HRAmZKdxH2KwKDZQit2Juc5b2KghSheUzuowrXMTZIXnBsoHI7
5cQbbZJgPNLi1/mrdgJWhOopsRpjwEqTqyryhndd1WRBi8S0VyOqVgUieMmOpZHLe3g+HiQ9SVHJ
lnoIHpPBvIZVBlO0aue3EPVlt+RJcScyh9tequROVdXw4AVBvZumPnxTLlSolRi85ZtjL59ajvGm
s8fqOba6DawLKCEkdEA7DCfJnwsMmLC1j9/U6Km8HMBfin1kxXyi09yVa6nAD6+K0Gpv5o6JwOIs
N+6VbgYXbZHd2Nat2G+cuGs/TwDjgp1M2uEhK4NC3MO2nuIdK6BwYzAVnCDTeNlq7gaMBz6MzOVQ
eK3aTHaRJw8FztRPfF2Ov9IpCc5N2HnpI1Vbw/RN1cvQQWHgnH4mncBWblWC5pDPh1yb7/ir43CF
TF47bN9ltHZVs+ycuM/OSt50SwA/vfGsSq0nMhVXoRjv5hyCfIyOc4dBZNz1xVI9WYsdXFL0Z956
4zd3DfVACEiAxR77pZjv5pj+o9spquvvlfB9urMXfYynMmAvNoblu4xTh8mHBWTgDtGNGUoO12SW
wu/KRZgu0hwa93lxKFedGON8jT05/BEiI15i0dM/4mTCapdGdQCywWqDdR9YcwfAVSbJNmDWK34A
Nu7UOrMSm7QCqU5yTvKl1Fa2h8/lBruIpGRx6VSt4a4wJ9szn/SxVqRESO3o6ssNwvrHFFj6FazV
2GzAGEYb6UMgWDl4PdJVapb2xqpTcaWK3sJXlzfeo5WJtrysGhPmh9ypPeDuqTVlWwb88BXwNFis
rI/MPmvi2iWilHuftdVNd8BTwke7ropLOmlT59QNcfBUdI7/bRl5gqQzd9VVUM7qVU6WfecatJdV
MRfmqp4FTn7Ch4dYR2LrKN85JcodjhPVAoQAwKRumKFQSYK87pj1O9gw68WaPXdlRUv/ZBLHuiZX
AvbYkBYZVxJ4QXdFTRMe80WVFZIMIQL2LDYYm9Fe5mKbFEN90Q9mBMkqRO/fddlUvJY9S7xdrZSY
tuU0xYJ5NAqyiwgQ7XJkFB/io5WCCTjYHio2P8xQVneT71rzjS/jxL2z7BnzLKiyYYJdhRSPExug
waZJeOsbTTgoX5E51ETNQyeH0NBFvrpMK5L+66nS053jkrq+8JrFty91li3l1o6sJkTQqO9BjZ5F
qsyax/u4Tf3mGQIl6Baf/qyCgZQiHXtb5VzyUQKKUjtyusoDh8KWoY0eY1PKu4yTi1qX9CpArGvT
AxZGcYj80EA/SAmYZW55g/pQHsKgD/cTAzVqw1QX7FX65bKPPdhIVS8wOJI2QhyGAAq2rZ+6DxMC
+VsRMOf4IOzrftbphgTgvc0Fv+7QtraDhPTfFw3IbQdnI64a9ZThsIF0pi2EqkaqR/DjiQLGyNNh
sWpzXIh9NJcdcn8OboKo2UHiSOdrbQYfwT9LvOHWdQv7JuwDcVVYiXjy8B60ezBI6NW1zLktl4M8
d59nuAWtMBZP7O7hBtVIRmobzeP4YHBZoNARk75I3EV98pjjZhl3mjl10olQhyK1YUQxf7w3Thnh
wLKLW7J+t23gmH3P5hB/ECzUrlr8yxrZflON/qldgCBWLsg+CXd8hfP6pC1/eeeBkT2owC0+G9Ak
+zZvHRimwsqPztDF6Kte0H4qVXEEg1sG0gnUH6BNHlCNSXCje2mXsaTshbdrRYB+ghTednttOLaz
6BiifV9rNyLPaJab3AOXj6G9/mj6+WNoLVIkg4NKtMbH67e7URRRvHGKkt7uX4azP8PWv7bo/N5r
888TD7PVrxMPZJ7KruvBHD3YOszJft9dVIWVPf7nL0NlVCQ9VwaB6//FPzctZVXHsaWPgel0tQJ6
RNvh3JIn+9ev8zsH4/x2zt8vdkFhMxHyf39/O05kuQPdGeNxQbF7z85PeDksTASKAB/qp5WnX8W0
ADr1YFqH/+bV3fOn9Q+b4N9ePgDCgRUoYLr969tMtSKo14nh6HVps0vOBwE3LOUOaQfHjO6Lu7D9
ufn2SNbNtdlghH1FD35cOF14P48ZME6K88Gjkpz7F3Nrgro+SlJdzYVtK/B0GO6RYi2Kjm56xOt8
VcORArkCiZHd0d/C+PjK/k9qtc5viEnYhg3ABxsSHz9/3r8MxIvwEkiFY3Nc0r5HQssxtq/AoyBK
I56zreA2Hop/U671z58ifnyMSk7IyVSSGP/9Rbs4Vt6URz0vqpZLEQjO0sOb3dEMEMwtdrL/9qH+
DxfA7/6t8zvkxUA28Ab5k2iU+v3FVCRcNpflcNRLSo9i536CCdmVthn+zbv65ytN8LP0/RDInPSE
f/77v3yULgC0BrG3OqaE04cbHFAxD87K8cd/B6P4Hz4/cBxMkRwT6U8I/vKlqZwKMITF4shOSJ6S
kSNFPJrknJqkgn6Tu0R89uD8mPOaRPc3uR6Fdxs6PmoiRz7aZDj9NQ4S2tCN8XIwP8+H3c+z4r/+
8P/pM3GwDtMzhbDDx+KfK+V+/UygsSlcbmF6zJPEDo5NOA63pjYMS//x6wguex/fHzrIPzV9yjbp
W6XG5FhhRcHLH9AisFFA/i5+vs7/NXf3/6t+T9cjf/rLV3K2o/9WMHjzmfbJb0bPP/+VP02ewR+A
l4BNcLanx+8nn+JPXdDBx83/6B84266hzfxDF3T/4Dfz8ys9uxp/Wsb/bvIM8Iy7DjeRyDnDdfzo
P9EFA4nH9Jf7OowblvVn4dEWWDy5XfzlJpFObKK8eljYbNeU88BlA8hDUbJ9lQRdsu0C5LCxoWA0
Kmlu2xLNiy8dWRW7uDDtKc84CcSGkrHNJNKINF2jxpXrDgFr+lgH3R70SndlnBTYc8TDeKsGlmjr
KtU8jKO5fV1Sv8DAWRdHslk459AZDmM5DduJjcmhbVV1k5J8GTjsDlO08YUHQwDSOHkLFEd2G0DN
u+rohoV3Sk0aRys0t34bozJd6axD07exTqIVRcb6ivuxK1ehdqLvsAbCtW3r8Kr2s/SiHpkwWNku
NfEnIV96bPNUdhBHrdhhIHWwZO5Y+rmCyOcEzeGZsqs3vdjpVdqljxA+l7WvyulINVr3Tqo1OXlu
m9yz2pcPcvGKKzvNXEgawBLBAyW4CbANUYFqMenbx8HqCnDd1bKN+OgYQrKEhBEACyQ/fU8bOafU
KLwKa1OcXDWka9Xnn0ye/or1YXpPlDjDT8Su0w+m+RtIUnlJPAl7zmJb0Fgp9JjQiOiVu8jPwiCt
B4KcZT82CD81PTMnC0cdHAqB/rMqCodgXkOxOtiOJAifHLXYt3LuWalNMOuP5/QrSGii7ze5MHOH
I8Pt3+sg0e1RA+E7SaWwtdm1jm/qsGRSLuGQnZWADMSqbpxCnFW8BGRfgO2B07SKaKdR56XIgCt6
V1G+doHnCKNQU5QuZveQ5io1lmm6k17PXKTPSMOod6/Tycq+WRODVNzral9lHNt5SxMFJSoKnxo0
260/hAYydDndDJAK+SqB8xExNKE/sNfppgfozwkLe86xL6Ov5XON2EzXne6cOyR6cnKuN5EY71jm
j1gjDmXk0VWiKQV4GZCcvrd+mt3BRxVbdruq3WbpTJpT85am3ViQ//HngmAtAPL0nrt0yNY6tw8y
V2fbVgnYL86n+tA2wZnwWQzQHh/cLh3Xvp52gZU8U71n1jWt1NfjwGfs9EH2ZsCj3Po1cUbfo/8m
7KqbAX+WmGcH6oNZ7vK2EFcZqK+dtLChdk7ZXkUFAPJ94fsDVzWC2B5ATKrhIlrAVRsAY3Dlo6xb
cEYZf+NZtv7CfPkGPKO7zFpRXWmy9EdF9CDjtBa0h7EvPdbJpr6olj7EUeg68U3W9xZb4SmuTmMK
lpp9v5NCSrTT4A7kY/8MfTxhwZ0UmFEjp3s1LlazjdPBglohG8iT3/BYP+rQ7ccjNRYy3QKiCOdv
HiZA8dCHLUYRv6o/Ca1R57F2WimbS0JxM4qI046p82KpxJhjkrET4Uw+kd6nHIq6DSHjOPpJCM82
/ixSvooahpgeAyKpKVZhscY5PD9hbnOY+4fyxXGNV14QIiUig1cbXuXgj9mOoQu4NLdo8NyBPxYv
aWrwR0Wd5a+52T+PbaQvHVIz15a2K7QIzk+InWwgsVoZ+zMIsoBm97i46tw6xzdvxbsJ0ZI0Oua1
m9ox8/eqj523ojMggM65E8NVxB22UbswG5pHnbpOD/gbn5FZo27Vn2oa6rvFk/FXZlF+lQNz+ey0
YYHo2vzBDqoRsFCxALYATO73jykI2HDtMWyr9UCFi7mfMeBM26DvoQkHLf8oFUEgm8+NVnqbQq1H
J3ENrOxy1CV0zjJo3GM5irHc+i7GERCjaiH04rngGBmPxcrzzpjGPvRANrp+paZ12Ef5lfFri8eL
wmkOfrDCrUd5pouss5+js6k04tBPZdJNAXL7EqSAWlueMYhNnsKoz4OHBqi+uRhlBkQDx43ez8aU
Vwqd8MlPW3U5/ORSLp7bfBs73s66y7kksFGZBr13ZMOCiSBcdu1PxGX5E3eZ/0Rf0sM4f9igDnBk
5HP0PWkxKTGHpMx3lKZhLZwpLIj2MoC6AT5zJp3vpb7HNjfBXN4HOAJAscByPMW4Zsk0j6OCzsMN
Pr1BXetOmjq5+pixoj7qxvX0FQVD+iB8yVWAFnaq5wKEHGo4PW6ZwbJac5u0dTLc48Ghq63o7Pd2
WO49MK6CMq54fLBN7tHdZPUW/NWsA9sBMzQA37Dk8r1Ts11s8sbIl270x2jtSUiWh3xYpmQ7tnKR
IJhxGXLPzoa1Pev5SzmR/eQ7g34YIkU2q57m4UEKOzrh2ipWxnK9e6dvvRdkyBJFovIuepAQbPfx
X2o9Xy1RQakHHA6NzxjwEeBfd+CCXZ3h8Z9lUaPPcjonWY4pQ/rXaVL2Z89TRPqhpTZh3vUdxNu9
V3jiBwvVmagu6en5Tig7efITMZ3/dDIfOVZ1tU9FLZ4yc67WYe4acCsA6+62iHXDjRWMRQwf1o1e
miJiyV5lHg4O7ATi4FvOBKzYimEiyITzGi7KLvc3fd7zRTNvZOVNT13csA2nvnjDHmffdJk1QFYR
DIq0lswVZ4jINBscleNbW8K4G93F2tTgF8QaHlf/0C+e9U5oh80Ynqsg3ULG4kZjQ6LDH+y27dot
PExiZddexAm9DAfZ2NpQfzX2X32R2II1nlYh9i/oz4eawnBaQkdonGvkcpzQiZ1ww5aLY/U46Us8
osaGGYaiLc92eqf5ZAj28zUdlQiPSUs9h6fbjxB57ACLJ/gYvTOwIjRxaK0H1/L7NU+mBVNbC8+K
EI16A/bcXWKLmF6gR5JDQWrMrianfgp1i5GpwLfmbIMg8E9l12fbrJyycZOU1SdLcayWOu5eF2hZ
x47yXy4svG3XJm+QvRMbG0NcQ9cp6bUjLCTDnCJNeBu3WbosXPLxQFiuEFT74Rlsx7d0xMO3UtAK
nZ3yXf06J6ULNiUH9rO1Qk+dyOWop9HI5IutpSgxbGks3PVYL846Xc6rAaPKljanroFb4o5E+9re
O2/HBHTg2KVdaBrH+Hlqu2rVChBRnaTdDqdbs7bKednib95zID3kdi7ZjGdZtUMQp2jTXqhTyg36
rghJ82jgCWhlAbdAQtn9i04jjMiII2ue+9xPcn6VFyoU8WFQuK5qkpePLc4QugniciMcz7yxXS7o
OQBS9F2RCU7XS5KID1Oeyy8m/E718pbE8mtKY/JI0laHPnaJzoSzXMA4zCE8LNgfNcV3JYa8HBz7
fp4TaAQWiehX8s/GfknamjqDxQj/VkwyPIsiUCpEVxTtAWmGXZ6ORpfSb1ja3xvlGyRwbhAb7dXs
0GSYWNNa1lFzoLYRgY9nwNHQV31fR6l+jlFEcWgVrt736MQjLRwnOJKJhfOK8OPB6oniIF5WlHhU
bqQfQ9xsSD4t/9EiyMvvuCO6VzfNPX9TTrn11YHp4dTpkvsEXdrdcQeyXaR10ZD1Aop/azc6olGK
LfEG43t0y/Kue7BpBqRiStJgAbekar/JNEjxtjdZ5Ww4oLHzCk3zMaqAqyMYWCieuPA4GKbQ/d8j
OfaPZCfE5egJ97Y0Tv9Eoy9tYKIh/oYdS848Z9XsY+ezor3n1ubAr0cnuzKxx08P+kd6qJc0OhG/
IlRj19DTsBvrkI3wLKppk/VEIVybAFFBZapaWX2gXt0AOPLMT6VdYaPgCxxqMdCeUlnOexT244Uj
Nb0SbgkVbg7PR7BpUJwHysWlp9QGLb/iTEhRezT3l3Ms4Wq18KwtqJixHe2Tyiu/uElk75nWwVUR
2hkLSkh0Wz4zG2timAJPGhyqpQ0KMlJtXD/3MptOXKzeGq+oBTJdOBcOpLhVKHIasFmX0CFBSWIS
UIC1QY2h+smRmUjWaplR3elu/VQRxtZVh4f+u6FQ+rJr/Iha1DQ0JZiIzvkuxrTZGDtRNNbQOtDM
zI3ao4O+ds0J/ARmwyVnMySS4kZkS3VbB5Ku0ckCEhD1BTeWpsbCBigZYIzVvkeFjdEiHP1vuPqX
76ZoS4y7LMav5gg6H9QbGqBMoR7G0oFXypr9AdWT+S/gGXI9NU2s965TAaqQgTvkay4s6DWDzfpj
SLvu5HJZbHF6wmTCW61DDgVV9TCzzsA2zfu+IwYe4gpo2DeNQRScZlUV5RqmUfHcJyI5mIXDxaYD
0ZNAFe+TTykaDovA07atH5T78xZI7fyyojh0iMZbCVrtWPAFPEbYFx64X7SXSvA2OBk5OUeXM41C
88CdwXM9utq6kHyh5ICKtyDjbmsiTz209fL0i/zxP8iOv2t0KApnEiZnXxuxmJyq9xehuvF9HRRl
v+xbnMA8+wO44qaW1qmbBc5+5P7q81+/Ii6t3zUMPFUk7AP50+Qkz0LKr1pbKPgqiW0v+7xzsrtG
L8O1l0iHbIwTXKRLEexp0Uk2//pFzwLePwTxv71N2MZBiEUrcJ1zIPjXF3VTp17iIKdrMVHFJeea
4VbFms4IjIOPzdKNO4ZACRhDt18/X/n/S3GPc/P1v//X+2eZVpu0H7r0Y/jVbkcW2fmXBr3Te1ch
z+W/qXF//lt/shjCP3zflTSLyP8mLvxNjQu8P4BV+zaRZ9tGyY4QdP8euQa4gEcPEY/plQOM4G/9
XY1zEOogMUX8HY+/kOF/osadf6e//aR8mA8uljVJxJtnx19+x5LzcxMM0bD1+3NXxXwj4/wHTErm
QugH8XA31fmP1hu6f7Pc4ZL76yvLs6joAzgn9M17+YsKqBJfLHIpxq2Mo+4r9gKoNZ6HN0j7gIWO
rr1wYkq5KAR3aGu5N31jimMxJcs1VvzmByIqM2g+c+KCsxCGr3U416eM2BnWsxS7NYE1PwKu1s/h
LWlMw8hmT8lO+LFLbZuo94ucggtLDZhMep4MDMEx0INZ0fYmuxvCV+SohPjgIFptxpx23UhAdIHo
gyOuup/LslwNYCixv9inISHhQBlbdi8MS+iVMYCWnNrCQI4r7DpAnYC1aDJ9LcIMu1zI68Wz6fdG
yPJu9utt3mSXmcj6q7P2tzIUBi1rZM7ZrNI85V/Wc0ouvG4n9ATLexoCxKp1P9IMzcOOU3LFYtwh
MLRyJTuRVeMSD3AHP1uJIlPPKQLkvfQnsjpLQi1qUe8d7WIUqVuPuDRdTIMN4AYCjGft5iWHWycm
K7zRVj/8iHFI4taqIyZilQ3R59Boxs1Z41lnnW8/GXvp+UvQAnITNyK57+nTot/Dm/NqXbgq69A5
iXLBFkiI69n6pH2Ml65XdGtBDPTapKV3Y6cLzUNuPvu37GwDABW9fZn21J2MjaluDdPIuCbMRMR1
aQMCX0FZ0UrR0IdVe6O5nKj22qFp4A3osmiXpcNyokmqeWqrMIDy1PSW2gBAoULU0GjlDrj3VgEU
NWs/hhhfblEDmQUSj8YSfgdYHzZT1ZZrr28iQLy4mg7I7ilVMQlU0LIgRs/KPEBeXgOLJP7fFOF8
wz+nWzS+yvnyrcAnVDdO1K4if90mUtPbY3Nc8NdjJ7O171jDccTmTx9sVWcTxi3aCFc9LJY9u0Lm
uxrB9dmfcaRTkzrLeCMnOFcxUEK2hcw8GQvLZj7GJZk7UHB+czWOyfCtrVx+SHlrvyq7Tr5ilpwf
fDLpfU9o4CbIfQqX2rmYaTH0xuQVKeysD2O42rlZRaM5K6bpVrojr7K4iXMQYFY4AFLH9g37Jem+
JZNmTZaTGTedsoRzl3DmrZsad5f15+R2vYj7ishvu9GOi4EvK1v7XIk2mY+2DJi3M1xWd1PsRN/6
sE5eWPEW4dYLuxrFsKBONoyUfOYUSI/2OFJ+NXLYI8k49E9EUTjfuFUn3ykgw4LRBKBTOK8DgZFF
1lE07bTOlwVh8iEZmvJ5Ist/B6czeK3Gc2kuVVkApfCt2o8KcyRYRmfiUD0C5H2oZUsf4TyeZ1jK
bOlbw/ZI8ga1SexS2u4zPvfCIulqAhfwC7r7NrFdwuvJxJqAUxdV9ENoH+g2p6s8yZPuvtMTliXY
TMVpIZXvsEbADbXKOZLrFSOZRTnr3GMgzUmmZLPFOZK+z8ymM4o2TRs8JK1fqKiHpSU+SnI5C2bu
hG4AwSnl/cANYBoAKpbdWmWR3LIL8cc1PpsgX3Mg0XdpHYpnvlK69MhpSIYn0iexJ7sHNYpk4xGE
2vrCL+/IDVMb2IAWXTW4ZV7p8+CMb7gNvWkUxm/czPlGw6aCG9oHDox7gIMW9V+TojlTgc5gmR6W
BrmM7ChTmeG/1GqGi5FRhckjzCJrzTGd28IUx7TQ5NYyXWuGgefC7tgSsLbIejiTkdsc2Ka7b+nQ
T/6aIhO/2dokljE3z3Z2lUXueEt0q3kK4eGArcHpHG5jXXmvulyaz1Yt0LPKBKjrKsVPBJbU7dSC
fQdy4kqF3ayOJCvcYIUDIb9GQLGT29oGBbHltEl+k2hSsu8LMUQXM+2VZGxGh6sLikgqQVll1jvq
gonXs4q7niGsIlda9Q14SgbvnSfQMDbwGYEA4YmyvDU/nI5OXiQHBmQG3xwOsx1t2riGfCxnn3Zd
dsY+CeYuHC+7Hgc8RtDlIsqmZt24YXzFL6n7FkwWVcZ5FzyPWVdeTMympyWzuRHbvSwOMiGKBZJh
nF9KmKUU34apvqZCLay2Zc6deoE0ShstsOoWe4oXfNZsCB4MW2x0J1uWK93YOa19Y9D9mKHH3nVM
BMk6rTLWY+CHqGXUWPH7BqQhltmXqlbdhcpD+q6zgMcO+V9MFLJaTqVb2VR/gC4OuPS2ZFKt92XI
rkEQx1CHbUJZYM7c7yr2i2svhqS9HXVcJ+ucZmlqYho/sA8UQACZz+GHvduKDl12T0M+X9YS0Mgq
lFPyYoMv5YsOi5Q2TGPCcd04vDdao+ZXgTn8kdtvc2s6V+4V/ve3mufzpXSVQXli8fFGExbYY6df
wJEqG/liPWUB9WDuiK8bumK+cBladvdNj/5w6wXWdB0b3Np20PtfYmYUDWG7PPlcSB/ky2JvPdgy
3Zm62LteCi0irIcYbncxdJ9LOqlm7bd94BN4sHwG8l66d6nXjoCjqIQd4QwWl+00BW/+mCQ/ljwu
kzWoUVaPTpHTYz9myQLUcDDsL45Aryfg34r6qdmhf5GnS3onHSdhno1BbJmVO5Lo2tRDYw02ahPO
cJsusnaN8uaZI7BfOmct0XkbWKX+xsB04SJgzCVfnb23bhRf11P9QocT8NUOtTLJnHqNfZXeHg4G
LTz1gXaX05x455WjSDQ+pLNluKTcltSvsZoNIgFgj3imCqCxQGdhFPpo3UGcqoRFMWwaCAPruI76
Qwv3EKXDeYNR1T7lRnjfw9wFqBPY/My2kdvjqXZcDgkrbwyGH6G06Jppx2Aat2jh4b0tpIpBVSM+
rMJcxf0moY6Gq1OM5547LTp+NLjKcJKF1L6uwtFY9WmcPO8FvyC/qNKpKg5C6KJrz+ax1xU2w3i4
YDNf8YB3foASoH8Vm796TbtqYmk1egamJTTRjT2X05YAqgJ/gc1aXEKImC/SNrUo6O7GkMIoD+0n
70DsNX4+fBPteSeIC9/6pizIj2vRz9m70YK7QIS4oinzs5wHyv0876AmpAUeVIt+0rm2eRiTrOlx
YgOCW/ETwPrHguKsLAhb3NtwhcNdoaUuVkyjLdQTUbXHQbrBZxmj0hiPaHuUF5uuJWoqBkfufLyP
L9rg4/KthRNbB2p2BTKkXk322aiL7EXesaL8Ftuv9TE7qnmzfXJkqBHas9xVFi3hSg1hufNSulJh
LOK7XhpejFa9mzGj4E1JP9mUsGBXlj9vytRADIh8GBwzEJe7rLGsLepluHP7riCVEHs8cqf4do59
n66zkdVJ2JUf0eI6L/wSxQ+NZrjtyCBwhZG0uIX2z9YwMdriTyyC+8WZ03prD1HyYM1OeeWOms+P
i+LZeJrbVSHEUu0Bzs4vGD37x74bKHVIiZjO5JlV76xoMht/RJwGPzxWRgAywv6cAoBvcparnfCH
CPGCYt1MkkevgRJHiMT1rjQlkeSGf7YkuvwK0UB1lWzA7+gfqQVWu1na8kEv3FTgHcTNuEHiDcBl
V+cYfjxAvTog+pmQKLiZLzx+iBx6i3JiDuBJa2PxYe/hzQIQSFy1xXXJab7c0OTAat/vim6rAEs9
NMBV72sYH9slEIRoSOxjQWi7YKtdBN86ysjx+i1eY0iu0rrIi5itvZnhSPAjltFjHRO+XIkYmW/F
gxKoDZmNAvCG0xJqUItEUU2blhOS5c18tIFXPzlDSR8Vi0sSrjn5fkN90bQdegCc4Jj64mWGwNNf
lNaYfOWBws/fBrR8ryqr5IiID0UNMJnc+tnGqfmo8UV8uiSKDnqeTXMcU67RismYelbRoSF6tbJ3
jLH+DWRoWmIF9oNo5SrbOUVq4ngY4foA/w8kRGwmHbMz+y/uzq05bSOK41+F6UPf8OiGLtNpZoKJ
wcbGOHWaJi+MgigSEpLQDcSn70+AXGQDcSymkylvluSj3bOrs7vn8v/rChFWluFg8RDBRJIBuck0
JN9izQYb7EHyyZUIQmgNju++p4PqcgXfmgBqUCS3KT2awJW40nC56zb0WyJFzu1s3iS61VKn4o1K
Fu0gSDK2kDbOMP3GAVUTBB6fCQcEkHudzFrRMJbB6m8DYwysuUI4tZ2tqNBwoJUhCD1t4fMPZpaq
xZDHg94n9jkltwCo8fuiTi3QchFczyVpPVjZ7id7TRCPIk6VgPOyCwsWEChBMwGDdyq1l5J6H/MB
3DtNvHo5YapLzYPPGEhhoxMFGVWuuZa4H4DZ52ABYGfHTr20vcpgc3fBIOj6C9F/WJLhOZxDqUgd
CLtGvOZ5VCCt5Ip3G1DPBu0zZxFIKtlcrGbqPb6z+MoPPGDaAhGEsiXU7u5y6FNS/qfgk7uBgZ0Z
lHDFn/1RBmapI6kfiQLokHGBxA6y8T3OeuhiYAdWe4GyMq4By4VPkdjlFASDJoEAg4zwvkhOeRuM
Wn0NhpHnD2w9MG7WWbRULoORQUUexntCqnR3oQvx3yEkwcNpliXtJPONL5B56DcaxIx/SQsVPDIW
ULzwsB5HHmgCiZICdRJSn0hlbxa5zeF6gwW+koFSZkmOw8c5yXw9ieAJ7n2wVB9l+I373shPqfZv
hj0NZOlPobZwv45IwicpX8ibf2ep5sdfZZdjEBsAJ5Ou/BEhnG40c5c6llRadRJHmQqkNoae1SRB
+jYXbXaWmQ12R3u2IkWoLYa5u7zyMnaT7kw3HigG1WdXor5Ir0gnIfHFFsIClB2XIYEwkZ0CGRqs
maEeOhRRhjBQtvWlvHQ77JHim3BjdhKa9iVRlXVGQQsIeJ3VqsmkyEBlbvVac44JVwGAzqtLKYgV
oD00YvBt2RfVr4m2FCdhy5FGHUUy3Lyjx7pxbWTGyujNF8t4ein7NpvopeypE30qex0HT06fMvrl
IJ+t1hqBSZuNaSrO1HE0VxJwVaYL5wG3QNBLUln+qCRCBiCmLmASRzqkxUQ6pznwIuBRQWKn5a2u
44w4nM88PwPjIJOE2zQKQ+BlsgI3WLeJ7gZwlY9BOteT7v/LP7oHbPsB1oUkf4AuPP84iQlFbunC
yGAu8gyHgeMnj8HbHir5rA4L2qUwfs/jehj/dtOuTaNPifFM+pZaeHQl/YK0YBnAWlwyxY8kRC/w
p7vboF2KIscbINQAr+RHRIE85z01HVPE6T5uNXr6mVMdmGwG59r6/RdZUlWyq5+Sr590+gNKEEUK
xEnHFnQiCfu9L+B8NaHIZv7Zuk1zD2Kd/uj4i+SsCniWDfFZ140L8rJJVG8p24Hn9s818EpRGlB3
4GGoa0kk/7YIIRyY/eqFKIDOJe10UMCw/lxKOBR3+eEpoFzAHqlIVCEcU4KqGWT1y9uZsE25/u9N
wDhI/aQwxlMnqLARUnzzunnwTMKeFZQuyO/R2cnt+kh4Z98OGBcyENzUa7S2GiIG89p58Ao9PS0s
sB551mZJcSbxoZXn2AOlIX15f2dEC0tZqKnyYLHCbN+9NafF3+8qIb6Nod+7WRr+zXt2/77r4MtX
V95V9qq82HMmkRmNod/ZWPJdMwfmnDXpvW/ZkdkYRqY1ie1KmLFVBJD/bdCLiOTTMnBS/hGwkE1L
Di67rxILfo8Zla3bLE2GxESp29qeGeXP4arlVoEtXVuyMzfHtukd1LRChVL9V9yY83na+NWch781
+iYnfqeiIYxKUcFRtyMng8s1R7XPPPWeRa2VIgJdt9G3pktxirWcTMJS2OYrpYKPtbau9DvTsvPD
3xDy2c7UfcHx2pqaCh+mVjq2J1GUl40s1CIVhArlhbd/o8PUn5nfSjlbwdTilRfeLvgkTW5Njfzh
uK5TQTeCGLfYktYdw0dz7niNgWmlpayN2druqOsK/5QkZnTItMgklZ9hhn+GY7jRnoDl71Vaj9+e
bVrd1t+ZGHMMVhJVvv3dprOu9G46Q3pSNrPQusY0pASyvPT2mdgNKi0u5KrSGUw5q7I5N/2G6VuN
gTMOvjG61zFkClZcNnrbDxEMqTN8Ue+hRTy+PAmU3qlnMZTOOoA/aL8LiBY0wMDKa28fi0ei8Wl1
Bu2En+Hr7ZgWu6TNcJhTBqNnZhPPKRtdjMXmXdQXl9fe3pEBbyiGupS0ky6RoXsGNd2ZfqGnA8LP
oKa7yZQ9jplXvgo0U7T9DJvJUxxDNe1+5+l76zgVC71tvXKG9fASYnfLYfZUt9lb39IZ5s2lbZtJ
4sQv3qDiZ8VFf4bx3awzplt0pDKBdm84w0pzw1JwVP4ZptB3KWlqzqNb00I/+8opYAYFSRVItKQs
SJLIlS1vv91GHLZHjfesF0dnskb2IcBafIxQt8OrQ6bj9xpy6Lz55JF8eQotPY2H/q16xC6eGHsT
M3r3DwAAAP//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EB31F0A2-EFCD-BD47-B051-EC1D5B088DB3}">
          <cx:tx>
            <cx:txData>
              <cx:f>_xlchart.v1.0</cx:f>
              <cx:v>A Delivery Time (Minutes)</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waterfall" uniqueId="{85D22CD3-78D5-734D-8208-D8081D7D3C3D}">
          <cx:tx>
            <cx:txData>
              <cx:f>_xlchart.v1.7</cx:f>
              <cx:v>B</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12" Type="http://schemas.openxmlformats.org/officeDocument/2006/relationships/chart" Target="../charts/chart12.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chart" Target="../charts/chart11.xml"/><Relationship Id="rId5" Type="http://schemas.microsoft.com/office/2014/relationships/chartEx" Target="../charts/chartEx1.xml"/><Relationship Id="rId10" Type="http://schemas.openxmlformats.org/officeDocument/2006/relationships/chart" Target="../charts/chart10.xml"/><Relationship Id="rId4" Type="http://schemas.openxmlformats.org/officeDocument/2006/relationships/chart" Target="../charts/chart6.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microsoft.com/office/2014/relationships/chartEx" Target="../charts/chartEx3.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186266</xdr:colOff>
      <xdr:row>0</xdr:row>
      <xdr:rowOff>76201</xdr:rowOff>
    </xdr:from>
    <xdr:to>
      <xdr:col>6</xdr:col>
      <xdr:colOff>736600</xdr:colOff>
      <xdr:row>10</xdr:row>
      <xdr:rowOff>76201</xdr:rowOff>
    </xdr:to>
    <xdr:graphicFrame macro="">
      <xdr:nvGraphicFramePr>
        <xdr:cNvPr id="3" name="Chart 2">
          <a:extLst>
            <a:ext uri="{FF2B5EF4-FFF2-40B4-BE49-F238E27FC236}">
              <a16:creationId xmlns:a16="http://schemas.microsoft.com/office/drawing/2014/main" id="{ED508DEF-4B13-C7FE-0264-C2A81EBC1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169333</xdr:colOff>
      <xdr:row>10</xdr:row>
      <xdr:rowOff>186268</xdr:rowOff>
    </xdr:from>
    <xdr:to>
      <xdr:col>5</xdr:col>
      <xdr:colOff>804332</xdr:colOff>
      <xdr:row>23</xdr:row>
      <xdr:rowOff>50800</xdr:rowOff>
    </xdr:to>
    <xdr:graphicFrame macro="">
      <xdr:nvGraphicFramePr>
        <xdr:cNvPr id="4" name="Chart 3">
          <a:extLst>
            <a:ext uri="{FF2B5EF4-FFF2-40B4-BE49-F238E27FC236}">
              <a16:creationId xmlns:a16="http://schemas.microsoft.com/office/drawing/2014/main" id="{A870E11B-1C50-0B00-AC21-45474BDAA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389418</xdr:colOff>
      <xdr:row>4</xdr:row>
      <xdr:rowOff>57080</xdr:rowOff>
    </xdr:from>
    <xdr:to>
      <xdr:col>13</xdr:col>
      <xdr:colOff>395112</xdr:colOff>
      <xdr:row>18</xdr:row>
      <xdr:rowOff>57080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C1A3AC5E-75E4-1E75-CBEC-CBDE51DD61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06609" y="856181"/>
              <a:ext cx="2274570" cy="27968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42334</xdr:colOff>
      <xdr:row>0</xdr:row>
      <xdr:rowOff>0</xdr:rowOff>
    </xdr:from>
    <xdr:to>
      <xdr:col>5</xdr:col>
      <xdr:colOff>728133</xdr:colOff>
      <xdr:row>7</xdr:row>
      <xdr:rowOff>152400</xdr:rowOff>
    </xdr:to>
    <xdr:graphicFrame macro="">
      <xdr:nvGraphicFramePr>
        <xdr:cNvPr id="2" name="Chart 1">
          <a:extLst>
            <a:ext uri="{FF2B5EF4-FFF2-40B4-BE49-F238E27FC236}">
              <a16:creationId xmlns:a16="http://schemas.microsoft.com/office/drawing/2014/main" id="{E2EF3EC6-7562-9A0B-2CC4-F3565034C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76198</xdr:colOff>
      <xdr:row>8</xdr:row>
      <xdr:rowOff>84667</xdr:rowOff>
    </xdr:from>
    <xdr:to>
      <xdr:col>7</xdr:col>
      <xdr:colOff>440267</xdr:colOff>
      <xdr:row>23</xdr:row>
      <xdr:rowOff>1</xdr:rowOff>
    </xdr:to>
    <xdr:graphicFrame macro="">
      <xdr:nvGraphicFramePr>
        <xdr:cNvPr id="3" name="Chart 2">
          <a:extLst>
            <a:ext uri="{FF2B5EF4-FFF2-40B4-BE49-F238E27FC236}">
              <a16:creationId xmlns:a16="http://schemas.microsoft.com/office/drawing/2014/main" id="{160C7CAC-AFE3-EBE5-1494-536C14640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182033</xdr:colOff>
      <xdr:row>0</xdr:row>
      <xdr:rowOff>16933</xdr:rowOff>
    </xdr:from>
    <xdr:to>
      <xdr:col>11</xdr:col>
      <xdr:colOff>431800</xdr:colOff>
      <xdr:row>9</xdr:row>
      <xdr:rowOff>93133</xdr:rowOff>
    </xdr:to>
    <xdr:graphicFrame macro="">
      <xdr:nvGraphicFramePr>
        <xdr:cNvPr id="4" name="Chart 3">
          <a:extLst>
            <a:ext uri="{FF2B5EF4-FFF2-40B4-BE49-F238E27FC236}">
              <a16:creationId xmlns:a16="http://schemas.microsoft.com/office/drawing/2014/main" id="{91394841-A934-A03B-51BD-1731A49FE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63499</xdr:colOff>
      <xdr:row>11</xdr:row>
      <xdr:rowOff>67733</xdr:rowOff>
    </xdr:from>
    <xdr:to>
      <xdr:col>16</xdr:col>
      <xdr:colOff>330200</xdr:colOff>
      <xdr:row>20</xdr:row>
      <xdr:rowOff>50799</xdr:rowOff>
    </xdr:to>
    <xdr:graphicFrame macro="">
      <xdr:nvGraphicFramePr>
        <xdr:cNvPr id="5" name="Chart 4">
          <a:extLst>
            <a:ext uri="{FF2B5EF4-FFF2-40B4-BE49-F238E27FC236}">
              <a16:creationId xmlns:a16="http://schemas.microsoft.com/office/drawing/2014/main" id="{E6EEA3F6-19CD-8AE4-ADBF-3A314B164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8467</xdr:colOff>
      <xdr:row>0</xdr:row>
      <xdr:rowOff>8467</xdr:rowOff>
    </xdr:from>
    <xdr:to>
      <xdr:col>20</xdr:col>
      <xdr:colOff>554567</xdr:colOff>
      <xdr:row>12</xdr:row>
      <xdr:rowOff>16933</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90799806-A133-F058-764A-DC7B1C55A9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21267" y="8467"/>
              <a:ext cx="4673600" cy="244686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148166</xdr:colOff>
      <xdr:row>12</xdr:row>
      <xdr:rowOff>67733</xdr:rowOff>
    </xdr:from>
    <xdr:to>
      <xdr:col>23</xdr:col>
      <xdr:colOff>50800</xdr:colOff>
      <xdr:row>22</xdr:row>
      <xdr:rowOff>127000</xdr:rowOff>
    </xdr:to>
    <xdr:graphicFrame macro="">
      <xdr:nvGraphicFramePr>
        <xdr:cNvPr id="24" name="Chart 23">
          <a:extLst>
            <a:ext uri="{FF2B5EF4-FFF2-40B4-BE49-F238E27FC236}">
              <a16:creationId xmlns:a16="http://schemas.microsoft.com/office/drawing/2014/main" id="{1D897A44-4257-F957-AF2C-DD49C4975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184305</xdr:colOff>
      <xdr:row>2</xdr:row>
      <xdr:rowOff>139390</xdr:rowOff>
    </xdr:from>
    <xdr:to>
      <xdr:col>29</xdr:col>
      <xdr:colOff>652037</xdr:colOff>
      <xdr:row>16</xdr:row>
      <xdr:rowOff>63810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352E43E7-5D08-BDE5-106F-195E68C9D5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1126605" y="545790"/>
              <a:ext cx="4595232" cy="27692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254000</xdr:colOff>
      <xdr:row>25</xdr:row>
      <xdr:rowOff>177180</xdr:rowOff>
    </xdr:from>
    <xdr:to>
      <xdr:col>8</xdr:col>
      <xdr:colOff>721732</xdr:colOff>
      <xdr:row>39</xdr:row>
      <xdr:rowOff>101600</xdr:rowOff>
    </xdr:to>
    <xdr:graphicFrame macro="">
      <xdr:nvGraphicFramePr>
        <xdr:cNvPr id="26" name="Chart 25">
          <a:extLst>
            <a:ext uri="{FF2B5EF4-FFF2-40B4-BE49-F238E27FC236}">
              <a16:creationId xmlns:a16="http://schemas.microsoft.com/office/drawing/2014/main" id="{5B3D27C1-2A55-402E-E1BA-4A9AFF12E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114609</xdr:colOff>
      <xdr:row>32</xdr:row>
      <xdr:rowOff>146205</xdr:rowOff>
    </xdr:from>
    <xdr:to>
      <xdr:col>16</xdr:col>
      <xdr:colOff>520390</xdr:colOff>
      <xdr:row>46</xdr:row>
      <xdr:rowOff>70625</xdr:rowOff>
    </xdr:to>
    <xdr:graphicFrame macro="">
      <xdr:nvGraphicFramePr>
        <xdr:cNvPr id="27" name="Chart 26">
          <a:extLst>
            <a:ext uri="{FF2B5EF4-FFF2-40B4-BE49-F238E27FC236}">
              <a16:creationId xmlns:a16="http://schemas.microsoft.com/office/drawing/2014/main" id="{6904E49B-271F-E53E-F041-9F6FB8DF0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114610</xdr:colOff>
      <xdr:row>40</xdr:row>
      <xdr:rowOff>99740</xdr:rowOff>
    </xdr:from>
    <xdr:to>
      <xdr:col>7</xdr:col>
      <xdr:colOff>582341</xdr:colOff>
      <xdr:row>54</xdr:row>
      <xdr:rowOff>24160</xdr:rowOff>
    </xdr:to>
    <xdr:graphicFrame macro="">
      <xdr:nvGraphicFramePr>
        <xdr:cNvPr id="29" name="Chart 28">
          <a:extLst>
            <a:ext uri="{FF2B5EF4-FFF2-40B4-BE49-F238E27FC236}">
              <a16:creationId xmlns:a16="http://schemas.microsoft.com/office/drawing/2014/main" id="{3A64AEA5-578D-5C3E-2852-69F0798E7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6195</xdr:colOff>
      <xdr:row>48</xdr:row>
      <xdr:rowOff>68766</xdr:rowOff>
    </xdr:from>
    <xdr:to>
      <xdr:col>12</xdr:col>
      <xdr:colOff>566853</xdr:colOff>
      <xdr:row>61</xdr:row>
      <xdr:rowOff>194527</xdr:rowOff>
    </xdr:to>
    <xdr:graphicFrame macro="">
      <xdr:nvGraphicFramePr>
        <xdr:cNvPr id="30" name="Chart 29">
          <a:extLst>
            <a:ext uri="{FF2B5EF4-FFF2-40B4-BE49-F238E27FC236}">
              <a16:creationId xmlns:a16="http://schemas.microsoft.com/office/drawing/2014/main" id="{8C04B013-2778-0DFD-355C-45E1A5E75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279400</xdr:colOff>
      <xdr:row>63</xdr:row>
      <xdr:rowOff>169334</xdr:rowOff>
    </xdr:from>
    <xdr:to>
      <xdr:col>10</xdr:col>
      <xdr:colOff>448733</xdr:colOff>
      <xdr:row>77</xdr:row>
      <xdr:rowOff>67734</xdr:rowOff>
    </xdr:to>
    <xdr:graphicFrame macro="">
      <xdr:nvGraphicFramePr>
        <xdr:cNvPr id="32" name="Chart 31">
          <a:extLst>
            <a:ext uri="{FF2B5EF4-FFF2-40B4-BE49-F238E27FC236}">
              <a16:creationId xmlns:a16="http://schemas.microsoft.com/office/drawing/2014/main" id="{2A6FEBDD-7FCF-2052-1F25-3FA60A63D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0</xdr:row>
      <xdr:rowOff>12700</xdr:rowOff>
    </xdr:from>
    <xdr:to>
      <xdr:col>7</xdr:col>
      <xdr:colOff>774700</xdr:colOff>
      <xdr:row>13</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4E97509-04E4-23BE-7F5D-393E12694A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65300" y="12700"/>
              <a:ext cx="4787900" cy="2628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184150</xdr:colOff>
      <xdr:row>11</xdr:row>
      <xdr:rowOff>177800</xdr:rowOff>
    </xdr:from>
    <xdr:to>
      <xdr:col>8</xdr:col>
      <xdr:colOff>628650</xdr:colOff>
      <xdr:row>25</xdr:row>
      <xdr:rowOff>76200</xdr:rowOff>
    </xdr:to>
    <xdr:graphicFrame macro="">
      <xdr:nvGraphicFramePr>
        <xdr:cNvPr id="4" name="Chart 3">
          <a:extLst>
            <a:ext uri="{FF2B5EF4-FFF2-40B4-BE49-F238E27FC236}">
              <a16:creationId xmlns:a16="http://schemas.microsoft.com/office/drawing/2014/main" id="{083F6423-E8DA-55AF-9406-395D7FCC0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10</xdr:row>
      <xdr:rowOff>88900</xdr:rowOff>
    </xdr:from>
    <xdr:to>
      <xdr:col>14</xdr:col>
      <xdr:colOff>19050</xdr:colOff>
      <xdr:row>23</xdr:row>
      <xdr:rowOff>190500</xdr:rowOff>
    </xdr:to>
    <xdr:graphicFrame macro="">
      <xdr:nvGraphicFramePr>
        <xdr:cNvPr id="5" name="Chart 4">
          <a:extLst>
            <a:ext uri="{FF2B5EF4-FFF2-40B4-BE49-F238E27FC236}">
              <a16:creationId xmlns:a16="http://schemas.microsoft.com/office/drawing/2014/main" id="{2FC0A3AD-6ADC-EA8E-8DD7-A092894EF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431800</xdr:colOff>
      <xdr:row>0</xdr:row>
      <xdr:rowOff>0</xdr:rowOff>
    </xdr:from>
    <xdr:to>
      <xdr:col>19</xdr:col>
      <xdr:colOff>69850</xdr:colOff>
      <xdr:row>10</xdr:row>
      <xdr:rowOff>25400</xdr:rowOff>
    </xdr:to>
    <xdr:graphicFrame macro="">
      <xdr:nvGraphicFramePr>
        <xdr:cNvPr id="6" name="Chart 5">
          <a:extLst>
            <a:ext uri="{FF2B5EF4-FFF2-40B4-BE49-F238E27FC236}">
              <a16:creationId xmlns:a16="http://schemas.microsoft.com/office/drawing/2014/main" id="{15772324-880A-D234-FFF3-8274D9C7D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69850</xdr:colOff>
      <xdr:row>10</xdr:row>
      <xdr:rowOff>114300</xdr:rowOff>
    </xdr:from>
    <xdr:to>
      <xdr:col>19</xdr:col>
      <xdr:colOff>514350</xdr:colOff>
      <xdr:row>24</xdr:row>
      <xdr:rowOff>12700</xdr:rowOff>
    </xdr:to>
    <xdr:graphicFrame macro="">
      <xdr:nvGraphicFramePr>
        <xdr:cNvPr id="9" name="Chart 8">
          <a:extLst>
            <a:ext uri="{FF2B5EF4-FFF2-40B4-BE49-F238E27FC236}">
              <a16:creationId xmlns:a16="http://schemas.microsoft.com/office/drawing/2014/main" id="{FBD068E8-4DB8-5CB1-EAC8-BDDB8516D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1.284412731482" createdVersion="8" refreshedVersion="8" minRefreshableVersion="3" recordCount="5" xr:uid="{04EA6EF8-981C-1B4F-9330-2A3ABB3241FE}">
  <cacheSource type="worksheet">
    <worksheetSource ref="A1:E6" sheet="Day8"/>
  </cacheSource>
  <cacheFields count="6">
    <cacheField name="Date" numFmtId="16">
      <sharedItems containsSemiMixedTypes="0" containsNonDate="0" containsDate="1" containsString="0" minDate="2026-01-01T00:00:00" maxDate="2026-01-06T00:00:00" count="5">
        <d v="2026-01-01T00:00:00"/>
        <d v="2026-01-02T00:00:00"/>
        <d v="2026-01-03T00:00:00"/>
        <d v="2026-01-04T00:00:00"/>
        <d v="2026-01-05T00:00:00"/>
      </sharedItems>
      <fieldGroup par="5"/>
    </cacheField>
    <cacheField name="Region" numFmtId="0">
      <sharedItems count="3">
        <s v="East"/>
        <s v="West"/>
        <s v="South"/>
      </sharedItems>
    </cacheField>
    <cacheField name="Product" numFmtId="0">
      <sharedItems count="3">
        <s v="Laptop"/>
        <s v="Mouse"/>
        <s v="Keyboard"/>
      </sharedItems>
    </cacheField>
    <cacheField name="Sales" numFmtId="0">
      <sharedItems containsSemiMixedTypes="0" containsString="0" containsNumber="1" containsInteger="1" minValue="1200" maxValue="50000"/>
    </cacheField>
    <cacheField name="Profit" numFmtId="0">
      <sharedItems containsSemiMixedTypes="0" containsString="0" containsNumber="1" containsInteger="1" minValue="300" maxValue="8000"/>
    </cacheField>
    <cacheField name="Months (Date)" numFmtId="0" databaseField="0">
      <fieldGroup base="0">
        <rangePr groupBy="months" startDate="2026-01-01T00:00:00" endDate="2026-01-06T00:00:00"/>
        <groupItems count="14">
          <s v="&lt;01/01/26"/>
          <s v="Jan"/>
          <s v="Feb"/>
          <s v="Mar"/>
          <s v="Apr"/>
          <s v="May"/>
          <s v="Jun"/>
          <s v="Jul"/>
          <s v="Aug"/>
          <s v="Sep"/>
          <s v="Oct"/>
          <s v="Nov"/>
          <s v="Dec"/>
          <s v="&gt;06/01/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1.307398263889" createdVersion="8" refreshedVersion="8" minRefreshableVersion="3" recordCount="5" xr:uid="{C571F38D-FD5B-9D4D-9BEB-4D6F1B8500DD}">
  <cacheSource type="worksheet">
    <worksheetSource ref="A1:F6" sheet="Day8"/>
  </cacheSource>
  <cacheFields count="6">
    <cacheField name="Date" numFmtId="16">
      <sharedItems containsSemiMixedTypes="0" containsNonDate="0" containsDate="1" containsString="0" minDate="2026-01-01T00:00:00" maxDate="2026-01-06T00:00:00"/>
    </cacheField>
    <cacheField name="Region" numFmtId="0">
      <sharedItems count="3">
        <s v="East"/>
        <s v="West"/>
        <s v="South"/>
      </sharedItems>
    </cacheField>
    <cacheField name="Product" numFmtId="0">
      <sharedItems count="3">
        <s v="Laptop"/>
        <s v="Mouse"/>
        <s v="Keyboard"/>
      </sharedItems>
    </cacheField>
    <cacheField name="Sales" numFmtId="0">
      <sharedItems containsSemiMixedTypes="0" containsString="0" containsNumber="1" containsInteger="1" minValue="1200" maxValue="50000"/>
    </cacheField>
    <cacheField name="Profit" numFmtId="0">
      <sharedItems containsSemiMixedTypes="0" containsString="0" containsNumber="1" containsInteger="1" minValue="300" maxValue="8000"/>
    </cacheField>
    <cacheField name="ages" numFmtId="0">
      <sharedItems containsSemiMixedTypes="0" containsString="0" containsNumber="1" containsInteger="1" minValue="18" maxValue="45" count="5">
        <n v="34"/>
        <n v="27"/>
        <n v="18"/>
        <n v="45"/>
        <n v="35"/>
      </sharedItems>
      <fieldGroup base="5">
        <rangePr autoEnd="0" startNum="18" endNum="45" groupInterval="8"/>
        <groupItems count="6">
          <s v="&lt;18"/>
          <s v="18-25"/>
          <s v="26-33"/>
          <s v="34-41"/>
          <s v="42-49"/>
          <s v="&gt;5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1.323847569445" createdVersion="8" refreshedVersion="8" minRefreshableVersion="3" recordCount="8" xr:uid="{E7663D5F-C43A-EA4D-8CBF-ED2930FB3D9B}">
  <cacheSource type="worksheet">
    <worksheetSource ref="B17:H25" sheet="Day8"/>
  </cacheSource>
  <cacheFields count="7">
    <cacheField name=" order ID" numFmtId="0">
      <sharedItems containsSemiMixedTypes="0" containsString="0" containsNumber="1" containsInteger="1" minValue="101" maxValue="108"/>
    </cacheField>
    <cacheField name="Date" numFmtId="16">
      <sharedItems containsSemiMixedTypes="0" containsNonDate="0" containsDate="1" containsString="0" minDate="2026-01-01T00:00:00" maxDate="2026-01-09T00:00:00"/>
    </cacheField>
    <cacheField name="Region" numFmtId="0">
      <sharedItems count="4">
        <s v="East"/>
        <s v="West"/>
        <s v="South"/>
        <s v="North"/>
      </sharedItems>
    </cacheField>
    <cacheField name="Product" numFmtId="0">
      <sharedItems count="4">
        <s v="Laptop"/>
        <s v="Mouse"/>
        <s v="Keyboard"/>
        <s v="Monitor"/>
      </sharedItems>
    </cacheField>
    <cacheField name="Category" numFmtId="0">
      <sharedItems count="2">
        <s v="Electronics"/>
        <s v="Accessories"/>
      </sharedItems>
    </cacheField>
    <cacheField name="Sales" numFmtId="0">
      <sharedItems containsSemiMixedTypes="0" containsString="0" containsNumber="1" containsInteger="1" minValue="1200" maxValue="50000"/>
    </cacheField>
    <cacheField name="Profit" numFmtId="0">
      <sharedItems containsSemiMixedTypes="0" containsString="0" containsNumber="1" containsInteger="1" minValue="300" maxValue="8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1.328341319444" createdVersion="8" refreshedVersion="8" minRefreshableVersion="3" recordCount="9" xr:uid="{7D5E9A5D-DC25-F64A-8A48-942F0F668412}">
  <cacheSource type="worksheet">
    <worksheetSource ref="B17:H26" sheet="Day8"/>
  </cacheSource>
  <cacheFields count="7">
    <cacheField name=" order ID" numFmtId="0">
      <sharedItems containsString="0" containsBlank="1" containsNumber="1" containsInteger="1" minValue="101" maxValue="108"/>
    </cacheField>
    <cacheField name="Date" numFmtId="0">
      <sharedItems containsNonDate="0" containsDate="1" containsString="0" containsBlank="1" minDate="2026-01-01T00:00:00" maxDate="2026-01-09T00:00:00"/>
    </cacheField>
    <cacheField name="Region" numFmtId="0">
      <sharedItems containsBlank="1"/>
    </cacheField>
    <cacheField name="Product" numFmtId="0">
      <sharedItems containsBlank="1" count="5">
        <s v="Laptop"/>
        <s v="Mouse"/>
        <s v="Keyboard"/>
        <s v="Monitor"/>
        <m/>
      </sharedItems>
    </cacheField>
    <cacheField name="Category" numFmtId="0">
      <sharedItems containsBlank="1"/>
    </cacheField>
    <cacheField name="Sales" numFmtId="0">
      <sharedItems containsString="0" containsBlank="1" containsNumber="1" containsInteger="1" minValue="1200" maxValue="50000"/>
    </cacheField>
    <cacheField name="Profit" numFmtId="0">
      <sharedItems containsString="0" containsBlank="1" containsNumber="1" containsInteger="1" minValue="300" maxValue="8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2.318225578703" createdVersion="8" refreshedVersion="8" minRefreshableVersion="3" recordCount="4" xr:uid="{694C9244-FA2C-4747-B33C-D3F632BF5254}">
  <cacheSource type="worksheet">
    <worksheetSource ref="H1:K5" sheet="Day9"/>
  </cacheSource>
  <cacheFields count="6">
    <cacheField name="Product" numFmtId="0">
      <sharedItems count="4">
        <s v="Laptop"/>
        <s v="Monitor"/>
        <s v="Keyboard"/>
        <s v="Mouse"/>
      </sharedItems>
    </cacheField>
    <cacheField name="Sales" numFmtId="3">
      <sharedItems containsSemiMixedTypes="0" containsString="0" containsNumber="1" containsInteger="1" minValue="5000" maxValue="60000"/>
    </cacheField>
    <cacheField name="Cost" numFmtId="3">
      <sharedItems containsSemiMixedTypes="0" containsString="0" containsNumber="1" containsInteger="1" minValue="3000" maxValue="45000"/>
    </cacheField>
    <cacheField name="profit" numFmtId="0">
      <sharedItems containsSemiMixedTypes="0" containsString="0" containsNumber="1" containsInteger="1" minValue="2000" maxValue="15000"/>
    </cacheField>
    <cacheField name="Profit2" numFmtId="0" formula="Sales-Cost" databaseField="0"/>
    <cacheField name="Profit Margin" numFmtId="0" formula=" (Sales-Cost)/Sales" databaseField="0"/>
  </cacheFields>
  <extLst>
    <ext xmlns:x14="http://schemas.microsoft.com/office/spreadsheetml/2009/9/main" uri="{725AE2AE-9491-48be-B2B4-4EB974FC3084}">
      <x14:pivotCacheDefinition pivotCacheId="159733639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2.918689467595" createdVersion="8" refreshedVersion="8" minRefreshableVersion="3" recordCount="5" xr:uid="{349484FE-8E9C-7241-9F4A-9E433A7C7F5D}">
  <cacheSource type="worksheet">
    <worksheetSource ref="I12:J17" sheet="Day10"/>
  </cacheSource>
  <cacheFields count="2">
    <cacheField name="Product" numFmtId="0">
      <sharedItems count="5">
        <s v="Laptop"/>
        <s v="Monitor"/>
        <s v="Keyboard"/>
        <s v="Mouse"/>
        <s v="Printer"/>
      </sharedItems>
    </cacheField>
    <cacheField name="Sales" numFmtId="6">
      <sharedItems containsSemiMixedTypes="0" containsString="0" containsNumber="1" containsInteger="1" minValue="15000" maxValue="8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3.402581712966" createdVersion="8" refreshedVersion="8" minRefreshableVersion="3" recordCount="5" xr:uid="{B6FA269C-22EB-1B48-8E95-C0A8B93779BE}">
  <cacheSource type="worksheet">
    <worksheetSource ref="J27:L32" sheet="Day10"/>
  </cacheSource>
  <cacheFields count="3">
    <cacheField name="Product" numFmtId="0">
      <sharedItems count="5">
        <s v="Laptop"/>
        <s v="Phone"/>
        <s v="Tablet"/>
        <s v="Monitor"/>
        <s v="Keyboard"/>
      </sharedItems>
    </cacheField>
    <cacheField name="Units Sold" numFmtId="0">
      <sharedItems containsSemiMixedTypes="0" containsString="0" containsNumber="1" containsInteger="1" minValue="90" maxValue="300"/>
    </cacheField>
    <cacheField name="Customer Rating" numFmtId="0">
      <sharedItems containsSemiMixedTypes="0" containsString="0" containsNumber="1" minValue="4.0999999999999996" maxValue="4.7"/>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Kampasati" refreshedDate="46243.413141203702" createdVersion="8" refreshedVersion="8" minRefreshableVersion="3" recordCount="5" xr:uid="{D901C340-B147-234F-8E94-B2F14FA1E605}">
  <cacheSource type="worksheet">
    <worksheetSource ref="B67:C72" sheet="Day10"/>
  </cacheSource>
  <cacheFields count="2">
    <cacheField name="Product" numFmtId="0">
      <sharedItems count="5">
        <s v="Laptop"/>
        <s v="Monitor"/>
        <s v="Printer"/>
        <s v="Keyboard"/>
        <s v="Mouse"/>
      </sharedItems>
    </cacheField>
    <cacheField name="Sales" numFmtId="6">
      <sharedItems containsSemiMixedTypes="0" containsString="0" containsNumber="1" containsInteger="1" minValue="15000" maxValue="8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50000"/>
    <n v="8000"/>
  </r>
  <r>
    <x v="1"/>
    <x v="1"/>
    <x v="1"/>
    <n v="1200"/>
    <n v="300"/>
  </r>
  <r>
    <x v="2"/>
    <x v="0"/>
    <x v="2"/>
    <n v="2500"/>
    <n v="600"/>
  </r>
  <r>
    <x v="3"/>
    <x v="2"/>
    <x v="0"/>
    <n v="45000"/>
    <n v="7000"/>
  </r>
  <r>
    <x v="4"/>
    <x v="1"/>
    <x v="1"/>
    <n v="1500"/>
    <n v="3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26-01-01T00:00:00"/>
    <x v="0"/>
    <x v="0"/>
    <n v="50000"/>
    <n v="8000"/>
    <x v="0"/>
  </r>
  <r>
    <d v="2026-01-02T00:00:00"/>
    <x v="1"/>
    <x v="1"/>
    <n v="1200"/>
    <n v="300"/>
    <x v="1"/>
  </r>
  <r>
    <d v="2026-01-03T00:00:00"/>
    <x v="0"/>
    <x v="2"/>
    <n v="2500"/>
    <n v="600"/>
    <x v="2"/>
  </r>
  <r>
    <d v="2026-01-04T00:00:00"/>
    <x v="2"/>
    <x v="0"/>
    <n v="45000"/>
    <n v="7000"/>
    <x v="3"/>
  </r>
  <r>
    <d v="2026-01-05T00:00:00"/>
    <x v="1"/>
    <x v="1"/>
    <n v="1500"/>
    <n v="350"/>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d v="2026-01-01T00:00:00"/>
    <x v="0"/>
    <x v="0"/>
    <x v="0"/>
    <n v="50000"/>
    <n v="8000"/>
  </r>
  <r>
    <n v="102"/>
    <d v="2026-01-02T00:00:00"/>
    <x v="1"/>
    <x v="1"/>
    <x v="1"/>
    <n v="1200"/>
    <n v="300"/>
  </r>
  <r>
    <n v="103"/>
    <d v="2026-01-03T00:00:00"/>
    <x v="0"/>
    <x v="2"/>
    <x v="1"/>
    <n v="2500"/>
    <n v="600"/>
  </r>
  <r>
    <n v="104"/>
    <d v="2026-01-04T00:00:00"/>
    <x v="2"/>
    <x v="0"/>
    <x v="0"/>
    <n v="45000"/>
    <n v="7000"/>
  </r>
  <r>
    <n v="105"/>
    <d v="2026-01-05T00:00:00"/>
    <x v="3"/>
    <x v="3"/>
    <x v="0"/>
    <n v="15000"/>
    <n v="2500"/>
  </r>
  <r>
    <n v="106"/>
    <d v="2026-01-06T00:00:00"/>
    <x v="1"/>
    <x v="1"/>
    <x v="1"/>
    <n v="1800"/>
    <n v="400"/>
  </r>
  <r>
    <n v="107"/>
    <d v="2026-01-07T00:00:00"/>
    <x v="2"/>
    <x v="2"/>
    <x v="1"/>
    <n v="3000"/>
    <n v="700"/>
  </r>
  <r>
    <n v="108"/>
    <d v="2026-01-08T00:00:00"/>
    <x v="0"/>
    <x v="3"/>
    <x v="0"/>
    <n v="17000"/>
    <n v="28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1"/>
    <d v="2026-01-01T00:00:00"/>
    <s v="East"/>
    <x v="0"/>
    <s v="Electronics"/>
    <n v="50000"/>
    <n v="8000"/>
  </r>
  <r>
    <n v="102"/>
    <d v="2026-01-02T00:00:00"/>
    <s v="West"/>
    <x v="1"/>
    <s v="Accessories"/>
    <n v="1200"/>
    <n v="300"/>
  </r>
  <r>
    <n v="103"/>
    <d v="2026-01-03T00:00:00"/>
    <s v="East"/>
    <x v="2"/>
    <s v="Accessories"/>
    <n v="2500"/>
    <n v="600"/>
  </r>
  <r>
    <n v="104"/>
    <d v="2026-01-04T00:00:00"/>
    <s v="South"/>
    <x v="0"/>
    <s v="Electronics"/>
    <n v="45000"/>
    <n v="7000"/>
  </r>
  <r>
    <n v="105"/>
    <d v="2026-01-05T00:00:00"/>
    <s v="North"/>
    <x v="3"/>
    <s v="Electronics"/>
    <n v="15000"/>
    <n v="2500"/>
  </r>
  <r>
    <n v="106"/>
    <d v="2026-01-06T00:00:00"/>
    <s v="West"/>
    <x v="1"/>
    <s v="Accessories"/>
    <n v="1800"/>
    <n v="400"/>
  </r>
  <r>
    <n v="107"/>
    <d v="2026-01-07T00:00:00"/>
    <s v="South"/>
    <x v="2"/>
    <s v="Accessories"/>
    <n v="3000"/>
    <n v="700"/>
  </r>
  <r>
    <n v="108"/>
    <d v="2026-01-08T00:00:00"/>
    <s v="East"/>
    <x v="3"/>
    <s v="Electronics"/>
    <n v="17000"/>
    <n v="2800"/>
  </r>
  <r>
    <m/>
    <m/>
    <m/>
    <x v="4"/>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60000"/>
    <n v="45000"/>
    <n v="15000"/>
  </r>
  <r>
    <x v="1"/>
    <n v="30000"/>
    <n v="20000"/>
    <n v="10000"/>
  </r>
  <r>
    <x v="2"/>
    <n v="10000"/>
    <n v="6000"/>
    <n v="4000"/>
  </r>
  <r>
    <x v="3"/>
    <n v="5000"/>
    <n v="3000"/>
    <n v="2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80000"/>
  </r>
  <r>
    <x v="1"/>
    <n v="45000"/>
  </r>
  <r>
    <x v="2"/>
    <n v="20000"/>
  </r>
  <r>
    <x v="3"/>
    <n v="15000"/>
  </r>
  <r>
    <x v="4"/>
    <n v="35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20"/>
    <n v="4.5999999999999996"/>
  </r>
  <r>
    <x v="1"/>
    <n v="250"/>
    <n v="4.3"/>
  </r>
  <r>
    <x v="2"/>
    <n v="180"/>
    <n v="4.5"/>
  </r>
  <r>
    <x v="3"/>
    <n v="90"/>
    <n v="4.7"/>
  </r>
  <r>
    <x v="4"/>
    <n v="300"/>
    <n v="4.099999999999999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80000"/>
  </r>
  <r>
    <x v="1"/>
    <n v="45000"/>
  </r>
  <r>
    <x v="2"/>
    <n v="35000"/>
  </r>
  <r>
    <x v="3"/>
    <n v="20000"/>
  </r>
  <r>
    <x v="4"/>
    <n v="1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F24D3-E8E1-5D4A-8FA9-1BC91C187E75}"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1" firstHeaderRow="1" firstDataRow="1" firstDataCol="1"/>
  <pivotFields count="7">
    <pivotField showAll="0"/>
    <pivotField numFmtId="16" showAll="0"/>
    <pivotField showAll="0"/>
    <pivotField showAll="0"/>
    <pivotField axis="axisRow" showAll="0">
      <items count="3">
        <item x="1"/>
        <item x="0"/>
        <item t="default"/>
      </items>
    </pivotField>
    <pivotField dataField="1" showAll="0"/>
    <pivotField showAll="0"/>
  </pivotFields>
  <rowFields count="1">
    <field x="4"/>
  </rowFields>
  <rowItems count="3">
    <i>
      <x/>
    </i>
    <i>
      <x v="1"/>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8462A8-137A-4641-8B78-6EE1DEF12E09}"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3:H38" firstHeaderRow="1" firstDataRow="1" firstDataCol="1"/>
  <pivotFields count="7">
    <pivotField showAll="0"/>
    <pivotField numFmtId="16" showAll="0"/>
    <pivotField axis="axisRow" showAll="0">
      <items count="5">
        <item x="0"/>
        <item x="3"/>
        <item x="2"/>
        <item x="1"/>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DA44D-AFD1-3F47-958C-ADC6992A322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6">
    <pivotField numFmtId="16" showAll="0">
      <items count="6">
        <item x="0"/>
        <item x="1"/>
        <item x="2"/>
        <item x="3"/>
        <item x="4"/>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360590-B9D9-B44B-8601-9027DC1B579A}"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8:K30" firstHeaderRow="1" firstDataRow="1" firstDataCol="1"/>
  <pivotFields count="7">
    <pivotField showAll="0"/>
    <pivotField numFmtId="16" showAll="0"/>
    <pivotField showAll="0"/>
    <pivotField showAll="0"/>
    <pivotField axis="axisRow" showAll="0">
      <items count="3">
        <item h="1" x="1"/>
        <item x="0"/>
        <item t="default"/>
      </items>
    </pivotField>
    <pivotField dataField="1" showAll="0"/>
    <pivotField showAll="0"/>
  </pivotFields>
  <rowFields count="1">
    <field x="4"/>
  </rowFields>
  <rowItems count="2">
    <i>
      <x v="1"/>
    </i>
    <i t="grand">
      <x/>
    </i>
  </rowItems>
  <colItems count="1">
    <i/>
  </colItems>
  <dataFields count="1">
    <dataField name="Max. of Sales"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52439C-6A50-8246-AA4D-1CD4396AA51C}"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0" firstHeaderRow="1" firstDataRow="1" firstDataCol="1"/>
  <pivotFields count="7">
    <pivotField dataField="1" showAll="0"/>
    <pivotField numFmtId="16" showAll="0"/>
    <pivotField axis="axisRow" showAll="0">
      <items count="5">
        <item x="0"/>
        <item x="3"/>
        <item x="2"/>
        <item x="1"/>
        <item t="default"/>
      </items>
    </pivotField>
    <pivotField showAll="0"/>
    <pivotField showAll="0"/>
    <pivotField showAll="0"/>
    <pivotField showAll="0"/>
  </pivotFields>
  <rowFields count="1">
    <field x="2"/>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6A249-24F6-C649-9485-F73CEC00DDC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6">
    <pivotField numFmtId="16" showAll="0">
      <items count="6">
        <item x="0"/>
        <item x="1"/>
        <item x="2"/>
        <item x="3"/>
        <item x="4"/>
        <item t="default"/>
      </items>
    </pivotField>
    <pivotField axis="axisRow" showAll="0" sortType="descending">
      <items count="4">
        <item x="1"/>
        <item x="2"/>
        <item x="0"/>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40C8F6-D1D5-C449-B790-4E5F9D627051}"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3" firstHeaderRow="1" firstDataRow="1" firstDataCol="1"/>
  <pivotFields count="7">
    <pivotField showAll="0"/>
    <pivotField numFmtId="16" showAll="0"/>
    <pivotField axis="axisRow" showAll="0">
      <items count="5">
        <item x="0"/>
        <item x="3"/>
        <item x="2"/>
        <item x="1"/>
        <item t="default"/>
      </items>
    </pivotField>
    <pivotField showAll="0"/>
    <pivotField showAll="0"/>
    <pivotField dataField="1" showAll="0"/>
    <pivotField showAll="0"/>
  </pivotFields>
  <rowFields count="1">
    <field x="2"/>
  </rowFields>
  <rowItems count="5">
    <i>
      <x/>
    </i>
    <i>
      <x v="1"/>
    </i>
    <i>
      <x v="2"/>
    </i>
    <i>
      <x v="3"/>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DDBA72-BF44-D940-827B-0C5E754C01A1}"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4" firstHeaderRow="1" firstDataRow="1" firstDataCol="1"/>
  <pivotFields count="7">
    <pivotField showAll="0"/>
    <pivotField showAll="0"/>
    <pivotField showAll="0"/>
    <pivotField axis="axisRow" showAll="0">
      <items count="6">
        <item h="1" x="2"/>
        <item h="1" x="0"/>
        <item h="1" x="3"/>
        <item x="1"/>
        <item h="1" x="4"/>
        <item t="default"/>
      </items>
    </pivotField>
    <pivotField showAll="0"/>
    <pivotField dataField="1" showAll="0"/>
    <pivotField showAll="0"/>
  </pivotFields>
  <rowFields count="1">
    <field x="3"/>
  </rowFields>
  <rowItems count="2">
    <i>
      <x v="3"/>
    </i>
    <i t="grand">
      <x/>
    </i>
  </rowItems>
  <colItems count="1">
    <i/>
  </colItems>
  <dataFields count="1">
    <dataField name="Min. of Sales"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94224F-24AB-8141-B3F5-93FAAF6B7BF8}"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0" firstHeaderRow="1" firstDataRow="1" firstDataCol="1"/>
  <pivotFields count="6">
    <pivotField numFmtId="16" showAll="0">
      <items count="6">
        <item x="0"/>
        <item x="1"/>
        <item x="2"/>
        <item x="3"/>
        <item x="4"/>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2">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15902A-161E-D145-93D9-84544E9566FC}" name="PivotTable2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3:E45" firstHeaderRow="1" firstDataRow="1" firstDataCol="1"/>
  <pivotFields count="7">
    <pivotField showAll="0"/>
    <pivotField numFmtId="16" showAll="0"/>
    <pivotField showAll="0"/>
    <pivotField showAll="0"/>
    <pivotField axis="axisRow" showAll="0">
      <items count="3">
        <item h="1" x="1"/>
        <item x="0"/>
        <item t="default"/>
      </items>
    </pivotField>
    <pivotField dataField="1" showAll="0"/>
    <pivotField showAll="0"/>
  </pivotFields>
  <rowFields count="1">
    <field x="4"/>
  </rowFields>
  <rowItems count="2">
    <i>
      <x v="1"/>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1CF246-181A-F347-9198-8BA4351AF6B1}"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3" firstHeaderRow="1" firstDataRow="1" firstDataCol="1"/>
  <pivotFields count="7">
    <pivotField showAll="0"/>
    <pivotField numFmtId="16" showAll="0"/>
    <pivotField showAll="0"/>
    <pivotField axis="axisRow" showAll="0">
      <items count="5">
        <item x="2"/>
        <item x="0"/>
        <item x="3"/>
        <item x="1"/>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4A6AF8-A6F4-6D4A-A232-EE0B46D24A6A}"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5:E40" firstHeaderRow="1" firstDataRow="1" firstDataCol="1"/>
  <pivotFields count="7">
    <pivotField showAll="0"/>
    <pivotField numFmtId="16"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3"/>
  </rowFields>
  <rowItems count="5">
    <i>
      <x v="1"/>
    </i>
    <i>
      <x v="2"/>
    </i>
    <i>
      <x/>
    </i>
    <i>
      <x v="3"/>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BCF16B-DAA4-AE44-A458-BCD97F3FAA4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6">
    <pivotField numFmtId="16" showAll="0">
      <items count="6">
        <item x="0"/>
        <item x="1"/>
        <item x="2"/>
        <item x="3"/>
        <item x="4"/>
        <item t="default"/>
      </items>
    </pivotField>
    <pivotField showAll="0"/>
    <pivotField axis="axisRow" showAll="0">
      <items count="4">
        <item x="2"/>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057DA5-4DEA-054F-85B3-BBBA9C992E47}"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K35" firstHeaderRow="1" firstDataRow="1" firstDataCol="1"/>
  <pivotFields count="7">
    <pivotField dataField="1" showAll="0"/>
    <pivotField numFmtId="16" showAll="0"/>
    <pivotField showAll="0"/>
    <pivotField axis="axisRow">
      <items count="5">
        <item h="1" x="2"/>
        <item x="0"/>
        <item h="1" x="3"/>
        <item h="1" x="1"/>
        <item t="default"/>
      </items>
    </pivotField>
    <pivotField showAll="0"/>
    <pivotField showAll="0"/>
    <pivotField showAll="0"/>
  </pivotFields>
  <rowFields count="1">
    <field x="3"/>
  </rowFields>
  <rowItems count="2">
    <i>
      <x v="1"/>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0FE86A-CE8A-5946-AF33-9FF0ADEC7274}"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K14" firstHeaderRow="1" firstDataRow="2" firstDataCol="1"/>
  <pivotFields count="6">
    <pivotField numFmtId="16" showAll="0"/>
    <pivotField axis="axisRow" showAll="0">
      <items count="4">
        <item x="0"/>
        <item x="2"/>
        <item x="1"/>
        <item t="default"/>
      </items>
    </pivotField>
    <pivotField axis="axisCol" showAll="0">
      <items count="4">
        <item x="2"/>
        <item x="0"/>
        <item x="1"/>
        <item t="default"/>
      </items>
    </pivotField>
    <pivotField dataField="1" showAll="0"/>
    <pivotField showAll="0"/>
    <pivotField showAll="0"/>
  </pivotFields>
  <rowFields count="1">
    <field x="1"/>
  </rowFields>
  <rowItems count="4">
    <i>
      <x/>
    </i>
    <i>
      <x v="1"/>
    </i>
    <i>
      <x v="2"/>
    </i>
    <i t="grand">
      <x/>
    </i>
  </rowItems>
  <colFields count="1">
    <field x="2"/>
  </colFields>
  <colItems count="4">
    <i>
      <x/>
    </i>
    <i>
      <x v="1"/>
    </i>
    <i>
      <x v="2"/>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DFAB2A-7664-5E4F-9E80-CCD73DC78F47}"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3" firstHeaderRow="1" firstDataRow="1" firstDataCol="1"/>
  <pivotFields count="6">
    <pivotField numFmtId="16" showAll="0"/>
    <pivotField showAll="0"/>
    <pivotField showAll="0">
      <items count="4">
        <item x="2"/>
        <item x="0"/>
        <item x="1"/>
        <item t="default"/>
      </items>
    </pivotField>
    <pivotField dataField="1" showAll="0"/>
    <pivotField showAll="0"/>
    <pivotField axis="axisRow" showAll="0">
      <items count="7">
        <item x="0"/>
        <item x="1"/>
        <item x="2"/>
        <item x="3"/>
        <item x="4"/>
        <item x="5"/>
        <item t="default"/>
      </items>
    </pivotField>
  </pivotFields>
  <rowFields count="1">
    <field x="5"/>
  </rowFields>
  <rowItems count="5">
    <i>
      <x v="1"/>
    </i>
    <i>
      <x v="2"/>
    </i>
    <i>
      <x v="3"/>
    </i>
    <i>
      <x v="4"/>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BBAD5CF-23BA-B842-AB78-01E70FB1921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K12" firstHeaderRow="0" firstDataRow="1" firstDataCol="1"/>
  <pivotFields count="6">
    <pivotField axis="axisRow" showAll="0">
      <items count="5">
        <item x="2"/>
        <item x="0"/>
        <item x="1"/>
        <item x="3"/>
        <item t="default"/>
      </items>
    </pivotField>
    <pivotField dataField="1" numFmtId="3" showAll="0"/>
    <pivotField dataField="1" numFmtId="3" showAll="0"/>
    <pivotField showAll="0"/>
    <pivotField dragToRow="0" dragToCol="0" dragToPage="0" showAll="0" defaultSubtotal="0"/>
    <pivotField dataField="1" dragToRow="0" dragToCol="0" dragToPage="0" showAll="0" defaultSubtotal="0"/>
  </pivotFields>
  <rowFields count="1">
    <field x="0"/>
  </rowFields>
  <rowItems count="5">
    <i>
      <x/>
    </i>
    <i>
      <x v="1"/>
    </i>
    <i>
      <x v="2"/>
    </i>
    <i>
      <x v="3"/>
    </i>
    <i t="grand">
      <x/>
    </i>
  </rowItems>
  <colFields count="1">
    <field x="-2"/>
  </colFields>
  <colItems count="3">
    <i>
      <x/>
    </i>
    <i i="1">
      <x v="1"/>
    </i>
    <i i="2">
      <x v="2"/>
    </i>
  </colItems>
  <dataFields count="3">
    <dataField name="Sum of Cost" fld="2" baseField="0" baseItem="0" numFmtId="3"/>
    <dataField name="Sum of Sales" fld="1" baseField="0" baseItem="0" numFmtId="3"/>
    <dataField name="Sum of Profit Margin" fld="5" baseField="0" baseItem="0" numFmtId="9"/>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439A89-3C03-7542-9A30-13E75C89BA8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2:L18" firstHeaderRow="1" firstDataRow="1" firstDataCol="1"/>
  <pivotFields count="2">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dataField="1" numFmtId="6" showAll="0"/>
  </pivotFields>
  <rowFields count="1">
    <field x="0"/>
  </rowFields>
  <rowItems count="6">
    <i>
      <x v="1"/>
    </i>
    <i>
      <x v="2"/>
    </i>
    <i>
      <x v="4"/>
    </i>
    <i>
      <x/>
    </i>
    <i>
      <x v="3"/>
    </i>
    <i t="grand">
      <x/>
    </i>
  </rowItems>
  <colItems count="1">
    <i/>
  </colItems>
  <dataFields count="1">
    <dataField name="Sum of Sales" fld="1" baseField="0" baseItem="0" numFmtId="6"/>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8F06950-D9A8-B049-822E-BCA0AC32E38C}"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6:E72" firstHeaderRow="1" firstDataRow="1" firstDataCol="1"/>
  <pivotFields count="2">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dataField="1" numFmtId="6" showAll="0"/>
  </pivotFields>
  <rowFields count="1">
    <field x="0"/>
  </rowFields>
  <rowItems count="6">
    <i>
      <x v="3"/>
    </i>
    <i>
      <x/>
    </i>
    <i>
      <x v="4"/>
    </i>
    <i>
      <x v="2"/>
    </i>
    <i>
      <x v="1"/>
    </i>
    <i t="grand">
      <x/>
    </i>
  </rowItems>
  <colItems count="1">
    <i/>
  </colItems>
  <dataFields count="1">
    <dataField name="Sum of Sales" fld="1" baseField="0" baseItem="0" numFmtId="6"/>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46FA65-2DC7-E64F-BB94-14AF24A0A75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4:K40" firstHeaderRow="1" firstDataRow="1" firstDataCol="1"/>
  <pivotFields count="3">
    <pivotField axis="axisRow" showAll="0" sortType="ascending">
      <items count="6">
        <item x="4"/>
        <item x="0"/>
        <item x="3"/>
        <item x="1"/>
        <item x="2"/>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6">
    <i>
      <x v="2"/>
    </i>
    <i>
      <x v="1"/>
    </i>
    <i>
      <x v="4"/>
    </i>
    <i>
      <x v="3"/>
    </i>
    <i>
      <x/>
    </i>
    <i t="grand">
      <x/>
    </i>
  </rowItems>
  <colItems count="1">
    <i/>
  </colItems>
  <dataFields count="1">
    <dataField name="Sum of Units Sol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DD914F-DC1F-A44A-A0E7-489FA718C4AC}" sourceName="Product">
  <pivotTables>
    <pivotTable tabId="2" name="PivotTable2"/>
  </pivotTables>
  <data>
    <tabular pivotCacheId="159733639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15EC92E-28CC-DC48-88B9-F27AAE8AD3F6}" cache="Slicer_Product" caption="Product"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7B3D-F0A2-FA42-B85C-ACEACC5BC15E}">
  <dimension ref="A1:O45"/>
  <sheetViews>
    <sheetView zoomScale="113" workbookViewId="0">
      <selection activeCell="M17" sqref="M17"/>
    </sheetView>
  </sheetViews>
  <sheetFormatPr baseColWidth="10" defaultRowHeight="16" outlineLevelRow="4" outlineLevelCol="1" x14ac:dyDescent="0.2"/>
  <cols>
    <col min="1" max="1" width="13" bestFit="1" customWidth="1" outlineLevel="1"/>
    <col min="2" max="2" width="12" bestFit="1" customWidth="1"/>
    <col min="4" max="4" width="13" bestFit="1" customWidth="1"/>
    <col min="5" max="5" width="12.1640625" bestFit="1" customWidth="1"/>
    <col min="6" max="6" width="6.83203125" bestFit="1" customWidth="1"/>
    <col min="7" max="7" width="13" bestFit="1" customWidth="1"/>
    <col min="8" max="8" width="12.1640625" bestFit="1" customWidth="1"/>
    <col min="9" max="9" width="6.83203125" bestFit="1" customWidth="1"/>
    <col min="10" max="10" width="13" bestFit="1" customWidth="1"/>
    <col min="11" max="11" width="16" bestFit="1" customWidth="1"/>
    <col min="12" max="12" width="13" bestFit="1" customWidth="1"/>
    <col min="13" max="13" width="11.83203125" bestFit="1" customWidth="1"/>
    <col min="15" max="15" width="11.6640625" bestFit="1" customWidth="1"/>
  </cols>
  <sheetData>
    <row r="1" spans="1:15" ht="19" x14ac:dyDescent="0.25">
      <c r="A1" s="3" t="s">
        <v>0</v>
      </c>
      <c r="B1" s="4" t="s">
        <v>7</v>
      </c>
      <c r="C1" s="3" t="s">
        <v>8</v>
      </c>
      <c r="D1" s="3" t="s">
        <v>9</v>
      </c>
      <c r="E1" s="3" t="s">
        <v>10</v>
      </c>
      <c r="F1" s="3" t="s">
        <v>15</v>
      </c>
      <c r="I1" s="29" t="s">
        <v>32</v>
      </c>
      <c r="J1" s="30"/>
      <c r="K1" s="30"/>
      <c r="L1" s="30"/>
    </row>
    <row r="2" spans="1:15" outlineLevel="4" x14ac:dyDescent="0.2">
      <c r="A2" s="1">
        <v>46023</v>
      </c>
      <c r="B2" t="s">
        <v>1</v>
      </c>
      <c r="C2" t="s">
        <v>2</v>
      </c>
      <c r="D2">
        <v>50000</v>
      </c>
      <c r="E2">
        <v>8000</v>
      </c>
      <c r="F2">
        <v>34</v>
      </c>
      <c r="I2" s="30"/>
      <c r="J2" s="30"/>
      <c r="K2" s="30"/>
      <c r="L2" s="30"/>
    </row>
    <row r="3" spans="1:15" x14ac:dyDescent="0.2">
      <c r="A3" s="1">
        <v>46024</v>
      </c>
      <c r="B3" s="2" t="s">
        <v>3</v>
      </c>
      <c r="C3" t="s">
        <v>4</v>
      </c>
      <c r="D3">
        <v>1200</v>
      </c>
      <c r="E3">
        <v>300</v>
      </c>
      <c r="F3">
        <v>27</v>
      </c>
      <c r="I3" s="5" t="s">
        <v>11</v>
      </c>
      <c r="J3" t="s">
        <v>13</v>
      </c>
      <c r="L3" s="5" t="s">
        <v>11</v>
      </c>
      <c r="M3" t="s">
        <v>14</v>
      </c>
      <c r="O3" t="s">
        <v>13</v>
      </c>
    </row>
    <row r="4" spans="1:15" x14ac:dyDescent="0.2">
      <c r="A4" s="1">
        <v>46025</v>
      </c>
      <c r="B4" s="2" t="s">
        <v>1</v>
      </c>
      <c r="C4" t="s">
        <v>5</v>
      </c>
      <c r="D4">
        <v>2500</v>
      </c>
      <c r="E4">
        <v>600</v>
      </c>
      <c r="F4">
        <v>18</v>
      </c>
      <c r="I4" s="6" t="s">
        <v>3</v>
      </c>
      <c r="J4">
        <v>2700</v>
      </c>
      <c r="L4" s="6" t="s">
        <v>5</v>
      </c>
      <c r="M4">
        <v>600</v>
      </c>
      <c r="O4">
        <v>100200</v>
      </c>
    </row>
    <row r="5" spans="1:15" x14ac:dyDescent="0.2">
      <c r="A5" s="1">
        <v>46026</v>
      </c>
      <c r="B5" t="s">
        <v>6</v>
      </c>
      <c r="C5" t="s">
        <v>2</v>
      </c>
      <c r="D5">
        <v>45000</v>
      </c>
      <c r="E5">
        <v>7000</v>
      </c>
      <c r="F5">
        <v>45</v>
      </c>
      <c r="I5" s="6" t="s">
        <v>6</v>
      </c>
      <c r="J5">
        <v>45000</v>
      </c>
      <c r="L5" s="6" t="s">
        <v>2</v>
      </c>
      <c r="M5">
        <v>15000</v>
      </c>
    </row>
    <row r="6" spans="1:15" x14ac:dyDescent="0.2">
      <c r="A6" s="1">
        <v>46027</v>
      </c>
      <c r="B6" t="s">
        <v>3</v>
      </c>
      <c r="C6" t="s">
        <v>4</v>
      </c>
      <c r="D6">
        <v>1500</v>
      </c>
      <c r="E6">
        <v>350</v>
      </c>
      <c r="F6">
        <v>35</v>
      </c>
      <c r="I6" s="6" t="s">
        <v>1</v>
      </c>
      <c r="J6">
        <v>52500</v>
      </c>
      <c r="L6" s="6" t="s">
        <v>4</v>
      </c>
      <c r="M6">
        <v>650</v>
      </c>
    </row>
    <row r="7" spans="1:15" x14ac:dyDescent="0.2">
      <c r="I7" s="6" t="s">
        <v>12</v>
      </c>
      <c r="J7">
        <v>100200</v>
      </c>
      <c r="L7" s="6" t="s">
        <v>12</v>
      </c>
      <c r="M7">
        <v>16250</v>
      </c>
    </row>
    <row r="8" spans="1:15" x14ac:dyDescent="0.2">
      <c r="A8" s="5" t="s">
        <v>11</v>
      </c>
      <c r="B8" t="s">
        <v>13</v>
      </c>
      <c r="D8" s="5" t="s">
        <v>11</v>
      </c>
      <c r="E8" t="s">
        <v>13</v>
      </c>
    </row>
    <row r="9" spans="1:15" x14ac:dyDescent="0.2">
      <c r="A9" s="6" t="s">
        <v>16</v>
      </c>
      <c r="B9">
        <v>100200</v>
      </c>
      <c r="D9" s="6" t="s">
        <v>18</v>
      </c>
      <c r="E9">
        <v>2500</v>
      </c>
      <c r="G9" s="5" t="s">
        <v>13</v>
      </c>
      <c r="H9" s="5" t="s">
        <v>17</v>
      </c>
    </row>
    <row r="10" spans="1:15" x14ac:dyDescent="0.2">
      <c r="A10" s="6" t="s">
        <v>12</v>
      </c>
      <c r="B10">
        <v>100200</v>
      </c>
      <c r="D10" s="6" t="s">
        <v>19</v>
      </c>
      <c r="E10">
        <v>1200</v>
      </c>
      <c r="G10" s="5" t="s">
        <v>11</v>
      </c>
      <c r="H10" t="s">
        <v>5</v>
      </c>
      <c r="I10" t="s">
        <v>2</v>
      </c>
      <c r="J10" t="s">
        <v>4</v>
      </c>
      <c r="K10" t="s">
        <v>12</v>
      </c>
    </row>
    <row r="11" spans="1:15" x14ac:dyDescent="0.2">
      <c r="D11" s="6" t="s">
        <v>20</v>
      </c>
      <c r="E11">
        <v>51500</v>
      </c>
      <c r="G11" s="6" t="s">
        <v>1</v>
      </c>
      <c r="H11">
        <v>2500</v>
      </c>
      <c r="I11">
        <v>50000</v>
      </c>
      <c r="K11">
        <v>52500</v>
      </c>
    </row>
    <row r="12" spans="1:15" x14ac:dyDescent="0.2">
      <c r="D12" s="6" t="s">
        <v>21</v>
      </c>
      <c r="E12">
        <v>45000</v>
      </c>
      <c r="G12" s="6" t="s">
        <v>6</v>
      </c>
      <c r="I12">
        <v>45000</v>
      </c>
      <c r="K12">
        <v>45000</v>
      </c>
    </row>
    <row r="13" spans="1:15" x14ac:dyDescent="0.2">
      <c r="D13" s="6" t="s">
        <v>12</v>
      </c>
      <c r="E13">
        <v>100200</v>
      </c>
      <c r="G13" s="6" t="s">
        <v>3</v>
      </c>
      <c r="J13">
        <v>2700</v>
      </c>
      <c r="K13">
        <v>2700</v>
      </c>
    </row>
    <row r="14" spans="1:15" x14ac:dyDescent="0.2">
      <c r="G14" s="6" t="s">
        <v>12</v>
      </c>
      <c r="H14">
        <v>2500</v>
      </c>
      <c r="I14">
        <v>95000</v>
      </c>
      <c r="J14">
        <v>2700</v>
      </c>
      <c r="K14">
        <v>100200</v>
      </c>
    </row>
    <row r="15" spans="1:15" x14ac:dyDescent="0.2">
      <c r="A15" s="27" t="s">
        <v>31</v>
      </c>
      <c r="B15" s="28"/>
      <c r="C15" s="28"/>
      <c r="D15" s="28"/>
      <c r="E15" s="28"/>
    </row>
    <row r="16" spans="1:15" x14ac:dyDescent="0.2">
      <c r="A16" s="28"/>
      <c r="B16" s="28"/>
      <c r="C16" s="28"/>
      <c r="D16" s="28"/>
      <c r="E16" s="28"/>
    </row>
    <row r="17" spans="1:11" x14ac:dyDescent="0.2">
      <c r="B17" t="s">
        <v>27</v>
      </c>
      <c r="C17" t="s">
        <v>0</v>
      </c>
      <c r="D17" t="s">
        <v>7</v>
      </c>
      <c r="E17" t="s">
        <v>8</v>
      </c>
      <c r="F17" t="s">
        <v>22</v>
      </c>
      <c r="G17" t="s">
        <v>9</v>
      </c>
      <c r="H17" t="s">
        <v>10</v>
      </c>
    </row>
    <row r="18" spans="1:11" x14ac:dyDescent="0.2">
      <c r="B18">
        <v>101</v>
      </c>
      <c r="C18" s="1">
        <v>46023</v>
      </c>
      <c r="D18" t="s">
        <v>1</v>
      </c>
      <c r="E18" t="s">
        <v>2</v>
      </c>
      <c r="F18" t="s">
        <v>23</v>
      </c>
      <c r="G18">
        <v>50000</v>
      </c>
      <c r="H18">
        <v>8000</v>
      </c>
    </row>
    <row r="19" spans="1:11" x14ac:dyDescent="0.2">
      <c r="B19">
        <v>102</v>
      </c>
      <c r="C19" s="1">
        <v>46024</v>
      </c>
      <c r="D19" t="s">
        <v>3</v>
      </c>
      <c r="E19" t="s">
        <v>4</v>
      </c>
      <c r="F19" t="s">
        <v>24</v>
      </c>
      <c r="G19">
        <v>1200</v>
      </c>
      <c r="H19">
        <v>300</v>
      </c>
    </row>
    <row r="20" spans="1:11" x14ac:dyDescent="0.2">
      <c r="B20">
        <v>103</v>
      </c>
      <c r="C20" s="1">
        <v>46025</v>
      </c>
      <c r="D20" t="s">
        <v>1</v>
      </c>
      <c r="E20" t="s">
        <v>5</v>
      </c>
      <c r="F20" t="s">
        <v>24</v>
      </c>
      <c r="G20">
        <v>2500</v>
      </c>
      <c r="H20">
        <v>600</v>
      </c>
    </row>
    <row r="21" spans="1:11" x14ac:dyDescent="0.2">
      <c r="B21">
        <v>104</v>
      </c>
      <c r="C21" s="1">
        <v>46026</v>
      </c>
      <c r="D21" t="s">
        <v>6</v>
      </c>
      <c r="E21" t="s">
        <v>2</v>
      </c>
      <c r="F21" t="s">
        <v>23</v>
      </c>
      <c r="G21">
        <v>45000</v>
      </c>
      <c r="H21">
        <v>7000</v>
      </c>
    </row>
    <row r="22" spans="1:11" x14ac:dyDescent="0.2">
      <c r="B22">
        <v>105</v>
      </c>
      <c r="C22" s="1">
        <v>46027</v>
      </c>
      <c r="D22" t="s">
        <v>25</v>
      </c>
      <c r="E22" t="s">
        <v>26</v>
      </c>
      <c r="F22" t="s">
        <v>23</v>
      </c>
      <c r="G22">
        <v>15000</v>
      </c>
      <c r="H22">
        <v>2500</v>
      </c>
    </row>
    <row r="23" spans="1:11" x14ac:dyDescent="0.2">
      <c r="B23">
        <v>106</v>
      </c>
      <c r="C23" s="1">
        <v>46028</v>
      </c>
      <c r="D23" t="s">
        <v>3</v>
      </c>
      <c r="E23" t="s">
        <v>4</v>
      </c>
      <c r="F23" t="s">
        <v>24</v>
      </c>
      <c r="G23">
        <v>1800</v>
      </c>
      <c r="H23">
        <v>400</v>
      </c>
    </row>
    <row r="24" spans="1:11" x14ac:dyDescent="0.2">
      <c r="B24">
        <v>107</v>
      </c>
      <c r="C24" s="1">
        <v>46029</v>
      </c>
      <c r="D24" t="s">
        <v>6</v>
      </c>
      <c r="E24" t="s">
        <v>5</v>
      </c>
      <c r="F24" t="s">
        <v>24</v>
      </c>
      <c r="G24">
        <v>3000</v>
      </c>
      <c r="H24">
        <v>700</v>
      </c>
    </row>
    <row r="25" spans="1:11" x14ac:dyDescent="0.2">
      <c r="B25">
        <v>108</v>
      </c>
      <c r="C25" s="1">
        <v>46030</v>
      </c>
      <c r="D25" t="s">
        <v>1</v>
      </c>
      <c r="E25" t="s">
        <v>26</v>
      </c>
      <c r="F25" t="s">
        <v>23</v>
      </c>
      <c r="G25">
        <v>17000</v>
      </c>
      <c r="H25">
        <v>2800</v>
      </c>
    </row>
    <row r="28" spans="1:11" x14ac:dyDescent="0.2">
      <c r="A28" s="5" t="s">
        <v>11</v>
      </c>
      <c r="B28" t="s">
        <v>13</v>
      </c>
      <c r="D28" s="5" t="s">
        <v>11</v>
      </c>
      <c r="E28" t="s">
        <v>14</v>
      </c>
      <c r="G28" s="5" t="s">
        <v>11</v>
      </c>
      <c r="H28" t="s">
        <v>13</v>
      </c>
      <c r="J28" s="5" t="s">
        <v>11</v>
      </c>
      <c r="K28" t="s">
        <v>29</v>
      </c>
    </row>
    <row r="29" spans="1:11" x14ac:dyDescent="0.2">
      <c r="A29" s="6" t="s">
        <v>1</v>
      </c>
      <c r="B29">
        <v>69500</v>
      </c>
      <c r="D29" s="6" t="s">
        <v>5</v>
      </c>
      <c r="E29">
        <v>1300</v>
      </c>
      <c r="G29" s="6" t="s">
        <v>24</v>
      </c>
      <c r="H29">
        <v>8500</v>
      </c>
      <c r="J29" s="6" t="s">
        <v>23</v>
      </c>
      <c r="K29">
        <v>50000</v>
      </c>
    </row>
    <row r="30" spans="1:11" x14ac:dyDescent="0.2">
      <c r="A30" s="6" t="s">
        <v>25</v>
      </c>
      <c r="B30">
        <v>15000</v>
      </c>
      <c r="D30" s="6" t="s">
        <v>2</v>
      </c>
      <c r="E30">
        <v>15000</v>
      </c>
      <c r="G30" s="6" t="s">
        <v>23</v>
      </c>
      <c r="H30">
        <v>127000</v>
      </c>
      <c r="J30" s="6" t="s">
        <v>12</v>
      </c>
      <c r="K30">
        <v>50000</v>
      </c>
    </row>
    <row r="31" spans="1:11" x14ac:dyDescent="0.2">
      <c r="A31" s="6" t="s">
        <v>6</v>
      </c>
      <c r="B31">
        <v>48000</v>
      </c>
      <c r="D31" s="6" t="s">
        <v>26</v>
      </c>
      <c r="E31">
        <v>5300</v>
      </c>
      <c r="G31" s="6" t="s">
        <v>12</v>
      </c>
      <c r="H31">
        <v>135500</v>
      </c>
    </row>
    <row r="32" spans="1:11" x14ac:dyDescent="0.2">
      <c r="A32" s="6" t="s">
        <v>3</v>
      </c>
      <c r="B32">
        <v>3000</v>
      </c>
      <c r="D32" s="6" t="s">
        <v>4</v>
      </c>
      <c r="E32">
        <v>700</v>
      </c>
    </row>
    <row r="33" spans="1:11" x14ac:dyDescent="0.2">
      <c r="A33" s="6" t="s">
        <v>12</v>
      </c>
      <c r="B33">
        <v>135500</v>
      </c>
      <c r="D33" s="6" t="s">
        <v>12</v>
      </c>
      <c r="E33">
        <v>22300</v>
      </c>
      <c r="G33" s="5" t="s">
        <v>11</v>
      </c>
      <c r="H33" t="s">
        <v>14</v>
      </c>
      <c r="J33" s="5" t="s">
        <v>11</v>
      </c>
      <c r="K33" t="s">
        <v>28</v>
      </c>
    </row>
    <row r="34" spans="1:11" x14ac:dyDescent="0.2">
      <c r="G34" s="6" t="s">
        <v>1</v>
      </c>
      <c r="H34">
        <v>11400</v>
      </c>
      <c r="J34" s="6" t="s">
        <v>2</v>
      </c>
      <c r="K34">
        <v>2</v>
      </c>
    </row>
    <row r="35" spans="1:11" x14ac:dyDescent="0.2">
      <c r="A35" s="5" t="s">
        <v>11</v>
      </c>
      <c r="B35" t="s">
        <v>28</v>
      </c>
      <c r="D35" s="5" t="s">
        <v>11</v>
      </c>
      <c r="E35" t="s">
        <v>13</v>
      </c>
      <c r="G35" s="6" t="s">
        <v>25</v>
      </c>
      <c r="H35">
        <v>2500</v>
      </c>
      <c r="J35" s="6" t="s">
        <v>12</v>
      </c>
      <c r="K35">
        <v>2</v>
      </c>
    </row>
    <row r="36" spans="1:11" x14ac:dyDescent="0.2">
      <c r="A36" s="6" t="s">
        <v>1</v>
      </c>
      <c r="B36">
        <v>3</v>
      </c>
      <c r="D36" s="6" t="s">
        <v>2</v>
      </c>
      <c r="E36">
        <v>95000</v>
      </c>
      <c r="G36" s="6" t="s">
        <v>6</v>
      </c>
      <c r="H36">
        <v>7700</v>
      </c>
    </row>
    <row r="37" spans="1:11" x14ac:dyDescent="0.2">
      <c r="A37" s="6" t="s">
        <v>25</v>
      </c>
      <c r="B37">
        <v>1</v>
      </c>
      <c r="D37" s="6" t="s">
        <v>26</v>
      </c>
      <c r="E37">
        <v>32000</v>
      </c>
      <c r="G37" s="6" t="s">
        <v>3</v>
      </c>
      <c r="H37">
        <v>700</v>
      </c>
    </row>
    <row r="38" spans="1:11" x14ac:dyDescent="0.2">
      <c r="A38" s="6" t="s">
        <v>6</v>
      </c>
      <c r="B38">
        <v>2</v>
      </c>
      <c r="D38" s="6" t="s">
        <v>5</v>
      </c>
      <c r="E38">
        <v>5500</v>
      </c>
      <c r="G38" s="6" t="s">
        <v>12</v>
      </c>
      <c r="H38">
        <v>22300</v>
      </c>
    </row>
    <row r="39" spans="1:11" x14ac:dyDescent="0.2">
      <c r="A39" s="6" t="s">
        <v>3</v>
      </c>
      <c r="B39">
        <v>2</v>
      </c>
      <c r="D39" s="6" t="s">
        <v>4</v>
      </c>
      <c r="E39">
        <v>3000</v>
      </c>
    </row>
    <row r="40" spans="1:11" x14ac:dyDescent="0.2">
      <c r="A40" s="6" t="s">
        <v>12</v>
      </c>
      <c r="B40">
        <v>8</v>
      </c>
      <c r="D40" s="6" t="s">
        <v>12</v>
      </c>
      <c r="E40">
        <v>135500</v>
      </c>
    </row>
    <row r="42" spans="1:11" x14ac:dyDescent="0.2">
      <c r="A42" s="5" t="s">
        <v>11</v>
      </c>
      <c r="B42" t="s">
        <v>30</v>
      </c>
    </row>
    <row r="43" spans="1:11" x14ac:dyDescent="0.2">
      <c r="A43" s="6" t="s">
        <v>4</v>
      </c>
      <c r="B43">
        <v>1200</v>
      </c>
      <c r="D43" s="5" t="s">
        <v>11</v>
      </c>
      <c r="E43" t="s">
        <v>13</v>
      </c>
    </row>
    <row r="44" spans="1:11" x14ac:dyDescent="0.2">
      <c r="A44" s="6" t="s">
        <v>12</v>
      </c>
      <c r="B44">
        <v>1200</v>
      </c>
      <c r="D44" s="6" t="s">
        <v>23</v>
      </c>
      <c r="E44">
        <v>127000</v>
      </c>
    </row>
    <row r="45" spans="1:11" x14ac:dyDescent="0.2">
      <c r="D45" s="6" t="s">
        <v>12</v>
      </c>
      <c r="E45">
        <v>127000</v>
      </c>
    </row>
  </sheetData>
  <mergeCells count="2">
    <mergeCell ref="A15:E16"/>
    <mergeCell ref="I1: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5052-78F9-8344-8EB5-B7BC6821B439}">
  <dimension ref="A1:K15"/>
  <sheetViews>
    <sheetView zoomScale="89" workbookViewId="0">
      <selection activeCell="H1" sqref="H1:I5"/>
    </sheetView>
  </sheetViews>
  <sheetFormatPr baseColWidth="10" defaultRowHeight="16" x14ac:dyDescent="0.2"/>
  <cols>
    <col min="8" max="8" width="13.6640625" bestFit="1" customWidth="1"/>
    <col min="9" max="9" width="11.83203125" bestFit="1" customWidth="1"/>
    <col min="10" max="10" width="12.33203125" bestFit="1" customWidth="1"/>
    <col min="11" max="12" width="18.83203125" bestFit="1" customWidth="1"/>
  </cols>
  <sheetData>
    <row r="1" spans="1:11" x14ac:dyDescent="0.2">
      <c r="A1" s="2" t="s">
        <v>33</v>
      </c>
      <c r="B1" s="2" t="s">
        <v>9</v>
      </c>
      <c r="H1" s="2" t="s">
        <v>8</v>
      </c>
      <c r="I1" s="2" t="s">
        <v>9</v>
      </c>
      <c r="J1" s="2" t="s">
        <v>41</v>
      </c>
      <c r="K1" s="2" t="s">
        <v>43</v>
      </c>
    </row>
    <row r="2" spans="1:11" x14ac:dyDescent="0.2">
      <c r="A2" t="s">
        <v>16</v>
      </c>
      <c r="B2" s="7">
        <v>20000</v>
      </c>
      <c r="H2" t="s">
        <v>2</v>
      </c>
      <c r="I2" s="7">
        <v>60000</v>
      </c>
      <c r="J2" s="7">
        <v>45000</v>
      </c>
      <c r="K2">
        <v>15000</v>
      </c>
    </row>
    <row r="3" spans="1:11" x14ac:dyDescent="0.2">
      <c r="A3" t="s">
        <v>34</v>
      </c>
      <c r="B3" s="7">
        <v>25000</v>
      </c>
      <c r="H3" t="s">
        <v>26</v>
      </c>
      <c r="I3" s="7">
        <v>30000</v>
      </c>
      <c r="J3" s="7">
        <v>20000</v>
      </c>
      <c r="K3">
        <v>10000</v>
      </c>
    </row>
    <row r="4" spans="1:11" x14ac:dyDescent="0.2">
      <c r="A4" t="s">
        <v>35</v>
      </c>
      <c r="B4" s="7">
        <v>22000</v>
      </c>
      <c r="H4" t="s">
        <v>5</v>
      </c>
      <c r="I4" s="7">
        <v>10000</v>
      </c>
      <c r="J4" s="7">
        <v>6000</v>
      </c>
      <c r="K4">
        <v>4000</v>
      </c>
    </row>
    <row r="5" spans="1:11" x14ac:dyDescent="0.2">
      <c r="A5" t="s">
        <v>36</v>
      </c>
      <c r="B5" s="7">
        <v>30000</v>
      </c>
      <c r="H5" t="s">
        <v>4</v>
      </c>
      <c r="I5" s="7">
        <v>5000</v>
      </c>
      <c r="J5" s="7">
        <v>3000</v>
      </c>
      <c r="K5">
        <v>2000</v>
      </c>
    </row>
    <row r="6" spans="1:11" x14ac:dyDescent="0.2">
      <c r="A6" t="s">
        <v>37</v>
      </c>
      <c r="B6" s="7">
        <v>35000</v>
      </c>
    </row>
    <row r="7" spans="1:11" x14ac:dyDescent="0.2">
      <c r="A7" t="s">
        <v>38</v>
      </c>
      <c r="B7" s="7">
        <v>40000</v>
      </c>
      <c r="H7" s="5" t="s">
        <v>11</v>
      </c>
      <c r="I7" t="s">
        <v>42</v>
      </c>
      <c r="J7" t="s">
        <v>13</v>
      </c>
      <c r="K7" t="s">
        <v>44</v>
      </c>
    </row>
    <row r="8" spans="1:11" x14ac:dyDescent="0.2">
      <c r="H8" s="6" t="s">
        <v>5</v>
      </c>
      <c r="I8" s="7">
        <v>6000</v>
      </c>
      <c r="J8" s="7">
        <v>10000</v>
      </c>
      <c r="K8" s="9">
        <v>0.4</v>
      </c>
    </row>
    <row r="9" spans="1:11" x14ac:dyDescent="0.2">
      <c r="H9" s="6" t="s">
        <v>2</v>
      </c>
      <c r="I9" s="7">
        <v>45000</v>
      </c>
      <c r="J9" s="7">
        <v>60000</v>
      </c>
      <c r="K9" s="9">
        <v>0.25</v>
      </c>
    </row>
    <row r="10" spans="1:11" x14ac:dyDescent="0.2">
      <c r="H10" s="6" t="s">
        <v>26</v>
      </c>
      <c r="I10" s="7">
        <v>20000</v>
      </c>
      <c r="J10" s="7">
        <v>30000</v>
      </c>
      <c r="K10" s="9">
        <v>0.33333333333333331</v>
      </c>
    </row>
    <row r="11" spans="1:11" x14ac:dyDescent="0.2">
      <c r="H11" s="6" t="s">
        <v>4</v>
      </c>
      <c r="I11" s="7">
        <v>3000</v>
      </c>
      <c r="J11" s="7">
        <v>5000</v>
      </c>
      <c r="K11" s="9">
        <v>0.4</v>
      </c>
    </row>
    <row r="12" spans="1:11" x14ac:dyDescent="0.2">
      <c r="A12" s="2" t="s">
        <v>22</v>
      </c>
      <c r="B12" s="2" t="s">
        <v>9</v>
      </c>
      <c r="H12" s="6" t="s">
        <v>12</v>
      </c>
      <c r="I12" s="7">
        <v>74000</v>
      </c>
      <c r="J12" s="7">
        <v>105000</v>
      </c>
      <c r="K12" s="9">
        <v>0.29523809523809524</v>
      </c>
    </row>
    <row r="13" spans="1:11" x14ac:dyDescent="0.2">
      <c r="A13" t="s">
        <v>23</v>
      </c>
      <c r="B13" s="8">
        <v>50000</v>
      </c>
    </row>
    <row r="14" spans="1:11" x14ac:dyDescent="0.2">
      <c r="A14" t="s">
        <v>39</v>
      </c>
      <c r="B14" s="8">
        <v>30000</v>
      </c>
    </row>
    <row r="15" spans="1:11" x14ac:dyDescent="0.2">
      <c r="A15" t="s">
        <v>40</v>
      </c>
      <c r="B15" s="8">
        <v>20000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576A-1A7A-2A4E-AAD9-00B08FE4DAFE}">
  <dimension ref="A1:X72"/>
  <sheetViews>
    <sheetView topLeftCell="A52" zoomScale="75" workbookViewId="0">
      <selection activeCell="J34" sqref="J34"/>
    </sheetView>
  </sheetViews>
  <sheetFormatPr baseColWidth="10" defaultRowHeight="16" x14ac:dyDescent="0.2"/>
  <cols>
    <col min="4" max="4" width="14.1640625" bestFit="1" customWidth="1"/>
    <col min="5" max="5" width="12.33203125" bestFit="1" customWidth="1"/>
    <col min="10" max="10" width="14.1640625" bestFit="1" customWidth="1"/>
    <col min="11" max="11" width="16.6640625" bestFit="1" customWidth="1"/>
    <col min="12" max="12" width="11.6640625" bestFit="1" customWidth="1"/>
  </cols>
  <sheetData>
    <row r="1" spans="1:24" x14ac:dyDescent="0.2">
      <c r="A1" s="2" t="s">
        <v>8</v>
      </c>
      <c r="B1" s="2" t="s">
        <v>45</v>
      </c>
      <c r="G1" s="2" t="s">
        <v>59</v>
      </c>
      <c r="H1" s="2" t="s">
        <v>60</v>
      </c>
      <c r="I1" s="2"/>
      <c r="J1" s="2"/>
      <c r="M1" s="2" t="s">
        <v>68</v>
      </c>
      <c r="N1" s="2" t="s">
        <v>70</v>
      </c>
      <c r="O1" s="2" t="s">
        <v>9</v>
      </c>
      <c r="X1" s="2" t="s">
        <v>76</v>
      </c>
    </row>
    <row r="2" spans="1:24" x14ac:dyDescent="0.2">
      <c r="A2" t="s">
        <v>2</v>
      </c>
      <c r="B2">
        <v>85000</v>
      </c>
      <c r="G2" t="s">
        <v>61</v>
      </c>
      <c r="H2" s="8">
        <v>50000</v>
      </c>
      <c r="J2" s="8"/>
      <c r="M2" t="s">
        <v>69</v>
      </c>
      <c r="N2" t="s">
        <v>71</v>
      </c>
      <c r="O2" s="8">
        <v>180000</v>
      </c>
      <c r="X2" s="2" t="s">
        <v>77</v>
      </c>
    </row>
    <row r="3" spans="1:24" x14ac:dyDescent="0.2">
      <c r="A3" t="s">
        <v>46</v>
      </c>
      <c r="B3">
        <v>72000</v>
      </c>
      <c r="G3" t="s">
        <v>62</v>
      </c>
      <c r="H3" s="8">
        <v>20000</v>
      </c>
      <c r="J3" s="8"/>
      <c r="M3" t="s">
        <v>69</v>
      </c>
      <c r="N3" t="s">
        <v>72</v>
      </c>
      <c r="O3" s="8">
        <v>220000</v>
      </c>
      <c r="X3">
        <v>18</v>
      </c>
    </row>
    <row r="4" spans="1:24" x14ac:dyDescent="0.2">
      <c r="A4" t="s">
        <v>26</v>
      </c>
      <c r="B4">
        <v>48000</v>
      </c>
      <c r="G4" t="s">
        <v>63</v>
      </c>
      <c r="H4" s="8">
        <v>15000</v>
      </c>
      <c r="J4" s="8"/>
      <c r="M4" t="s">
        <v>69</v>
      </c>
      <c r="N4" t="s">
        <v>73</v>
      </c>
      <c r="O4" s="8">
        <v>150000</v>
      </c>
      <c r="X4">
        <v>20</v>
      </c>
    </row>
    <row r="5" spans="1:24" x14ac:dyDescent="0.2">
      <c r="A5" t="s">
        <v>5</v>
      </c>
      <c r="B5">
        <v>18000</v>
      </c>
      <c r="G5" t="s">
        <v>64</v>
      </c>
      <c r="H5" s="8">
        <v>10000</v>
      </c>
      <c r="J5" s="8"/>
      <c r="M5" t="s">
        <v>69</v>
      </c>
      <c r="N5" t="s">
        <v>74</v>
      </c>
      <c r="O5" s="8">
        <v>250000</v>
      </c>
      <c r="X5">
        <v>21</v>
      </c>
    </row>
    <row r="6" spans="1:24" x14ac:dyDescent="0.2">
      <c r="G6" t="s">
        <v>65</v>
      </c>
      <c r="H6" s="8">
        <v>5000</v>
      </c>
      <c r="J6" s="8"/>
      <c r="M6" t="s">
        <v>69</v>
      </c>
      <c r="N6" t="s">
        <v>67</v>
      </c>
      <c r="O6" s="8">
        <v>200000</v>
      </c>
      <c r="X6">
        <v>22</v>
      </c>
    </row>
    <row r="7" spans="1:24" x14ac:dyDescent="0.2">
      <c r="X7">
        <v>22</v>
      </c>
    </row>
    <row r="8" spans="1:24" x14ac:dyDescent="0.2">
      <c r="X8">
        <v>23</v>
      </c>
    </row>
    <row r="9" spans="1:24" x14ac:dyDescent="0.2">
      <c r="A9" s="2" t="s">
        <v>33</v>
      </c>
      <c r="B9" s="2" t="s">
        <v>47</v>
      </c>
      <c r="X9">
        <v>24</v>
      </c>
    </row>
    <row r="10" spans="1:24" x14ac:dyDescent="0.2">
      <c r="A10" t="s">
        <v>48</v>
      </c>
      <c r="B10" s="7">
        <v>120000</v>
      </c>
      <c r="X10">
        <v>25</v>
      </c>
    </row>
    <row r="11" spans="1:24" x14ac:dyDescent="0.2">
      <c r="A11" t="s">
        <v>49</v>
      </c>
      <c r="B11" s="7">
        <v>135000</v>
      </c>
      <c r="X11">
        <v>25</v>
      </c>
    </row>
    <row r="12" spans="1:24" x14ac:dyDescent="0.2">
      <c r="A12" t="s">
        <v>50</v>
      </c>
      <c r="B12" s="7">
        <v>128000</v>
      </c>
      <c r="I12" s="2" t="s">
        <v>8</v>
      </c>
      <c r="J12" s="2" t="s">
        <v>9</v>
      </c>
      <c r="K12" s="5" t="s">
        <v>11</v>
      </c>
      <c r="L12" t="s">
        <v>13</v>
      </c>
      <c r="X12">
        <v>26</v>
      </c>
    </row>
    <row r="13" spans="1:24" x14ac:dyDescent="0.2">
      <c r="A13" t="s">
        <v>51</v>
      </c>
      <c r="B13" s="7">
        <v>150000</v>
      </c>
      <c r="I13" t="s">
        <v>2</v>
      </c>
      <c r="J13" s="8">
        <v>80000</v>
      </c>
      <c r="K13" s="6" t="s">
        <v>2</v>
      </c>
      <c r="L13" s="8">
        <v>80000</v>
      </c>
      <c r="X13">
        <v>27</v>
      </c>
    </row>
    <row r="14" spans="1:24" x14ac:dyDescent="0.2">
      <c r="A14" t="s">
        <v>37</v>
      </c>
      <c r="B14" s="7">
        <v>162000</v>
      </c>
      <c r="I14" t="s">
        <v>26</v>
      </c>
      <c r="J14" s="8">
        <v>45000</v>
      </c>
      <c r="K14" s="6" t="s">
        <v>26</v>
      </c>
      <c r="L14" s="8">
        <v>45000</v>
      </c>
      <c r="R14" s="2" t="s">
        <v>75</v>
      </c>
      <c r="S14" s="2" t="s">
        <v>45</v>
      </c>
      <c r="X14">
        <v>28</v>
      </c>
    </row>
    <row r="15" spans="1:24" x14ac:dyDescent="0.2">
      <c r="A15" t="s">
        <v>52</v>
      </c>
      <c r="B15" s="7">
        <v>158000</v>
      </c>
      <c r="I15" t="s">
        <v>5</v>
      </c>
      <c r="J15" s="8">
        <v>20000</v>
      </c>
      <c r="K15" s="6" t="s">
        <v>66</v>
      </c>
      <c r="L15" s="8">
        <v>35000</v>
      </c>
      <c r="R15" s="7">
        <v>10000</v>
      </c>
      <c r="S15" s="7">
        <v>50000</v>
      </c>
      <c r="X15">
        <v>29</v>
      </c>
    </row>
    <row r="16" spans="1:24" x14ac:dyDescent="0.2">
      <c r="A16" t="s">
        <v>53</v>
      </c>
      <c r="B16" s="7">
        <v>175000</v>
      </c>
      <c r="I16" t="s">
        <v>4</v>
      </c>
      <c r="J16" s="8">
        <v>15000</v>
      </c>
      <c r="K16" s="6" t="s">
        <v>5</v>
      </c>
      <c r="L16" s="8">
        <v>20000</v>
      </c>
      <c r="R16" s="7">
        <v>20000</v>
      </c>
      <c r="S16" s="7">
        <v>75000</v>
      </c>
      <c r="X16">
        <v>30</v>
      </c>
    </row>
    <row r="17" spans="1:24" x14ac:dyDescent="0.2">
      <c r="A17" t="s">
        <v>54</v>
      </c>
      <c r="B17" s="7">
        <v>182000</v>
      </c>
      <c r="I17" t="s">
        <v>66</v>
      </c>
      <c r="J17" s="8">
        <v>35000</v>
      </c>
      <c r="K17" s="6" t="s">
        <v>4</v>
      </c>
      <c r="L17" s="8">
        <v>15000</v>
      </c>
      <c r="R17" s="7">
        <v>30000</v>
      </c>
      <c r="S17" s="7">
        <v>95000</v>
      </c>
      <c r="X17">
        <v>31</v>
      </c>
    </row>
    <row r="18" spans="1:24" x14ac:dyDescent="0.2">
      <c r="A18" t="s">
        <v>55</v>
      </c>
      <c r="B18" s="7">
        <v>170000</v>
      </c>
      <c r="K18" s="6" t="s">
        <v>12</v>
      </c>
      <c r="L18" s="8">
        <v>195000</v>
      </c>
      <c r="R18" s="7">
        <v>40000</v>
      </c>
      <c r="S18" s="7">
        <v>130000</v>
      </c>
      <c r="X18">
        <v>32</v>
      </c>
    </row>
    <row r="19" spans="1:24" x14ac:dyDescent="0.2">
      <c r="A19" t="s">
        <v>56</v>
      </c>
      <c r="B19" s="7">
        <v>195000</v>
      </c>
      <c r="R19" s="7">
        <v>50000</v>
      </c>
      <c r="S19" s="7">
        <v>155000</v>
      </c>
      <c r="X19">
        <v>34</v>
      </c>
    </row>
    <row r="20" spans="1:24" x14ac:dyDescent="0.2">
      <c r="A20" t="s">
        <v>57</v>
      </c>
      <c r="B20" s="7">
        <v>210000</v>
      </c>
      <c r="R20" s="7">
        <v>60000</v>
      </c>
      <c r="S20" s="7">
        <v>180000</v>
      </c>
      <c r="X20">
        <v>35</v>
      </c>
    </row>
    <row r="21" spans="1:24" x14ac:dyDescent="0.2">
      <c r="A21" t="s">
        <v>58</v>
      </c>
      <c r="B21" s="7">
        <v>225000</v>
      </c>
      <c r="X21">
        <v>38</v>
      </c>
    </row>
    <row r="22" spans="1:24" x14ac:dyDescent="0.2">
      <c r="X22">
        <v>45</v>
      </c>
    </row>
    <row r="27" spans="1:24" x14ac:dyDescent="0.2">
      <c r="J27" s="2" t="s">
        <v>8</v>
      </c>
      <c r="K27" s="2" t="s">
        <v>79</v>
      </c>
      <c r="L27" s="2" t="s">
        <v>80</v>
      </c>
    </row>
    <row r="28" spans="1:24" x14ac:dyDescent="0.2">
      <c r="A28" s="2" t="s">
        <v>33</v>
      </c>
      <c r="B28" s="2" t="s">
        <v>78</v>
      </c>
      <c r="C28" s="2" t="s">
        <v>9</v>
      </c>
      <c r="J28" t="s">
        <v>2</v>
      </c>
      <c r="K28">
        <v>120</v>
      </c>
      <c r="L28">
        <v>4.5999999999999996</v>
      </c>
    </row>
    <row r="29" spans="1:24" x14ac:dyDescent="0.2">
      <c r="A29" t="s">
        <v>48</v>
      </c>
      <c r="B29" s="7">
        <v>5000</v>
      </c>
      <c r="C29" s="8">
        <v>80000</v>
      </c>
      <c r="J29" t="s">
        <v>81</v>
      </c>
      <c r="K29">
        <v>250</v>
      </c>
      <c r="L29">
        <v>4.3</v>
      </c>
    </row>
    <row r="30" spans="1:24" x14ac:dyDescent="0.2">
      <c r="A30" t="s">
        <v>49</v>
      </c>
      <c r="B30" s="7">
        <v>5500</v>
      </c>
      <c r="C30" s="8">
        <v>85000</v>
      </c>
      <c r="J30" t="s">
        <v>82</v>
      </c>
      <c r="K30">
        <v>180</v>
      </c>
      <c r="L30">
        <v>4.5</v>
      </c>
    </row>
    <row r="31" spans="1:24" x14ac:dyDescent="0.2">
      <c r="A31" t="s">
        <v>50</v>
      </c>
      <c r="B31" s="7">
        <v>6200</v>
      </c>
      <c r="C31" s="8">
        <v>95000</v>
      </c>
      <c r="J31" t="s">
        <v>26</v>
      </c>
      <c r="K31">
        <v>90</v>
      </c>
      <c r="L31">
        <v>4.7</v>
      </c>
    </row>
    <row r="32" spans="1:24" x14ac:dyDescent="0.2">
      <c r="A32" t="s">
        <v>51</v>
      </c>
      <c r="B32" s="7">
        <v>6800</v>
      </c>
      <c r="C32" s="8">
        <v>105000</v>
      </c>
      <c r="J32" t="s">
        <v>5</v>
      </c>
      <c r="K32">
        <v>300</v>
      </c>
      <c r="L32">
        <v>4.0999999999999996</v>
      </c>
    </row>
    <row r="33" spans="1:11" x14ac:dyDescent="0.2">
      <c r="A33" t="s">
        <v>37</v>
      </c>
      <c r="B33" s="7">
        <v>7500</v>
      </c>
      <c r="C33" s="8">
        <v>115000</v>
      </c>
    </row>
    <row r="34" spans="1:11" x14ac:dyDescent="0.2">
      <c r="A34" t="s">
        <v>52</v>
      </c>
      <c r="B34" s="7">
        <v>8100</v>
      </c>
      <c r="C34" s="8">
        <v>125000</v>
      </c>
      <c r="J34" s="5" t="s">
        <v>11</v>
      </c>
      <c r="K34" t="s">
        <v>83</v>
      </c>
    </row>
    <row r="35" spans="1:11" x14ac:dyDescent="0.2">
      <c r="J35" s="6" t="s">
        <v>26</v>
      </c>
      <c r="K35">
        <v>90</v>
      </c>
    </row>
    <row r="36" spans="1:11" x14ac:dyDescent="0.2">
      <c r="J36" s="6" t="s">
        <v>2</v>
      </c>
      <c r="K36">
        <v>120</v>
      </c>
    </row>
    <row r="37" spans="1:11" x14ac:dyDescent="0.2">
      <c r="J37" s="6" t="s">
        <v>82</v>
      </c>
      <c r="K37">
        <v>180</v>
      </c>
    </row>
    <row r="38" spans="1:11" x14ac:dyDescent="0.2">
      <c r="J38" s="6" t="s">
        <v>81</v>
      </c>
      <c r="K38">
        <v>250</v>
      </c>
    </row>
    <row r="39" spans="1:11" x14ac:dyDescent="0.2">
      <c r="J39" s="6" t="s">
        <v>5</v>
      </c>
      <c r="K39">
        <v>300</v>
      </c>
    </row>
    <row r="40" spans="1:11" x14ac:dyDescent="0.2">
      <c r="J40" s="6" t="s">
        <v>12</v>
      </c>
      <c r="K40">
        <v>940</v>
      </c>
    </row>
    <row r="41" spans="1:11" x14ac:dyDescent="0.2">
      <c r="A41" s="2" t="s">
        <v>59</v>
      </c>
      <c r="B41" s="2" t="s">
        <v>60</v>
      </c>
    </row>
    <row r="42" spans="1:11" x14ac:dyDescent="0.2">
      <c r="A42" t="s">
        <v>61</v>
      </c>
      <c r="B42" s="8">
        <v>60000</v>
      </c>
      <c r="I42" s="2" t="s">
        <v>84</v>
      </c>
      <c r="J42" s="2" t="s">
        <v>9</v>
      </c>
    </row>
    <row r="43" spans="1:11" x14ac:dyDescent="0.2">
      <c r="A43" t="s">
        <v>62</v>
      </c>
      <c r="B43" s="8">
        <v>25000</v>
      </c>
      <c r="I43" s="8">
        <v>10000</v>
      </c>
      <c r="J43" s="8">
        <v>50000</v>
      </c>
    </row>
    <row r="44" spans="1:11" x14ac:dyDescent="0.2">
      <c r="A44" t="s">
        <v>63</v>
      </c>
      <c r="B44" s="8">
        <v>20000</v>
      </c>
      <c r="I44" s="8">
        <v>20000</v>
      </c>
      <c r="J44" s="8">
        <v>75000</v>
      </c>
    </row>
    <row r="45" spans="1:11" x14ac:dyDescent="0.2">
      <c r="A45" t="s">
        <v>64</v>
      </c>
      <c r="B45" s="8">
        <v>10000</v>
      </c>
      <c r="I45" s="8">
        <v>30000</v>
      </c>
      <c r="J45" s="8">
        <v>95000</v>
      </c>
    </row>
    <row r="46" spans="1:11" x14ac:dyDescent="0.2">
      <c r="A46" t="s">
        <v>65</v>
      </c>
      <c r="B46" s="8">
        <v>5000</v>
      </c>
      <c r="I46" s="8">
        <v>40000</v>
      </c>
      <c r="J46" s="8">
        <v>130000</v>
      </c>
    </row>
    <row r="47" spans="1:11" x14ac:dyDescent="0.2">
      <c r="I47" s="8">
        <v>50000</v>
      </c>
      <c r="J47" s="8">
        <v>155000</v>
      </c>
    </row>
    <row r="48" spans="1:11" x14ac:dyDescent="0.2">
      <c r="I48" s="8">
        <v>60000</v>
      </c>
      <c r="J48" s="8">
        <v>180000</v>
      </c>
    </row>
    <row r="66" spans="2:5" x14ac:dyDescent="0.2">
      <c r="D66" s="5" t="s">
        <v>11</v>
      </c>
      <c r="E66" t="s">
        <v>13</v>
      </c>
    </row>
    <row r="67" spans="2:5" x14ac:dyDescent="0.2">
      <c r="B67" s="2" t="s">
        <v>8</v>
      </c>
      <c r="C67" s="2" t="s">
        <v>9</v>
      </c>
      <c r="D67" s="6" t="s">
        <v>4</v>
      </c>
      <c r="E67" s="8">
        <v>15000</v>
      </c>
    </row>
    <row r="68" spans="2:5" x14ac:dyDescent="0.2">
      <c r="B68" t="s">
        <v>2</v>
      </c>
      <c r="C68" s="8">
        <v>80000</v>
      </c>
      <c r="D68" s="6" t="s">
        <v>5</v>
      </c>
      <c r="E68" s="8">
        <v>20000</v>
      </c>
    </row>
    <row r="69" spans="2:5" x14ac:dyDescent="0.2">
      <c r="B69" t="s">
        <v>26</v>
      </c>
      <c r="C69" s="8">
        <v>45000</v>
      </c>
      <c r="D69" s="6" t="s">
        <v>66</v>
      </c>
      <c r="E69" s="8">
        <v>35000</v>
      </c>
    </row>
    <row r="70" spans="2:5" x14ac:dyDescent="0.2">
      <c r="B70" t="s">
        <v>66</v>
      </c>
      <c r="C70" s="8">
        <v>35000</v>
      </c>
      <c r="D70" s="6" t="s">
        <v>26</v>
      </c>
      <c r="E70" s="8">
        <v>45000</v>
      </c>
    </row>
    <row r="71" spans="2:5" x14ac:dyDescent="0.2">
      <c r="B71" t="s">
        <v>5</v>
      </c>
      <c r="C71" s="8">
        <v>20000</v>
      </c>
      <c r="D71" s="6" t="s">
        <v>2</v>
      </c>
      <c r="E71" s="8">
        <v>80000</v>
      </c>
    </row>
    <row r="72" spans="2:5" x14ac:dyDescent="0.2">
      <c r="B72" t="s">
        <v>4</v>
      </c>
      <c r="C72" s="8">
        <v>15000</v>
      </c>
      <c r="D72" s="6" t="s">
        <v>12</v>
      </c>
      <c r="E72" s="8">
        <v>195000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29F2-E5C7-7442-9AEC-E13082691917}">
  <dimension ref="A1:M19"/>
  <sheetViews>
    <sheetView workbookViewId="0">
      <selection activeCell="J32" sqref="J32"/>
    </sheetView>
  </sheetViews>
  <sheetFormatPr baseColWidth="10" defaultRowHeight="16" x14ac:dyDescent="0.2"/>
  <sheetData>
    <row r="1" spans="1:13" x14ac:dyDescent="0.2">
      <c r="A1" s="2" t="s">
        <v>76</v>
      </c>
      <c r="B1" s="2" t="s">
        <v>85</v>
      </c>
    </row>
    <row r="2" spans="1:13" x14ac:dyDescent="0.2">
      <c r="A2" t="s">
        <v>86</v>
      </c>
      <c r="B2">
        <v>100000</v>
      </c>
      <c r="J2" s="2" t="s">
        <v>33</v>
      </c>
      <c r="K2" s="2" t="s">
        <v>86</v>
      </c>
      <c r="L2" s="2" t="s">
        <v>90</v>
      </c>
      <c r="M2" s="2" t="s">
        <v>10</v>
      </c>
    </row>
    <row r="3" spans="1:13" x14ac:dyDescent="0.2">
      <c r="A3" t="s">
        <v>62</v>
      </c>
      <c r="B3">
        <v>-20000</v>
      </c>
      <c r="J3" t="s">
        <v>16</v>
      </c>
      <c r="K3" s="8">
        <v>100000</v>
      </c>
      <c r="L3" s="8">
        <v>70000</v>
      </c>
      <c r="M3" s="8">
        <v>30000</v>
      </c>
    </row>
    <row r="4" spans="1:13" x14ac:dyDescent="0.2">
      <c r="A4" t="s">
        <v>61</v>
      </c>
      <c r="B4">
        <v>-30000</v>
      </c>
      <c r="J4" t="s">
        <v>34</v>
      </c>
      <c r="K4" s="8">
        <v>120000</v>
      </c>
      <c r="L4" s="8">
        <v>75000</v>
      </c>
      <c r="M4" s="8">
        <v>45000</v>
      </c>
    </row>
    <row r="5" spans="1:13" x14ac:dyDescent="0.2">
      <c r="A5" t="s">
        <v>63</v>
      </c>
      <c r="B5">
        <v>-10000</v>
      </c>
      <c r="J5" t="s">
        <v>35</v>
      </c>
      <c r="K5" s="8">
        <v>150000</v>
      </c>
      <c r="L5" s="8">
        <v>80000</v>
      </c>
      <c r="M5" s="8">
        <v>70000</v>
      </c>
    </row>
    <row r="6" spans="1:13" x14ac:dyDescent="0.2">
      <c r="A6" t="s">
        <v>87</v>
      </c>
      <c r="B6">
        <v>5000</v>
      </c>
      <c r="J6" t="s">
        <v>36</v>
      </c>
      <c r="K6" s="8">
        <v>170000</v>
      </c>
      <c r="L6" s="8">
        <v>90000</v>
      </c>
      <c r="M6" s="8">
        <v>80000</v>
      </c>
    </row>
    <row r="7" spans="1:13" x14ac:dyDescent="0.2">
      <c r="A7" t="s">
        <v>88</v>
      </c>
      <c r="B7">
        <v>45000</v>
      </c>
      <c r="J7" t="s">
        <v>37</v>
      </c>
      <c r="K7" s="8">
        <v>200000</v>
      </c>
      <c r="L7" s="8">
        <v>95000</v>
      </c>
      <c r="M7" s="8">
        <v>105000</v>
      </c>
    </row>
    <row r="15" spans="1:13" x14ac:dyDescent="0.2">
      <c r="A15" s="2" t="s">
        <v>33</v>
      </c>
      <c r="B15" s="2" t="s">
        <v>9</v>
      </c>
      <c r="C15" s="2" t="s">
        <v>89</v>
      </c>
    </row>
    <row r="16" spans="1:13" x14ac:dyDescent="0.2">
      <c r="A16" t="s">
        <v>16</v>
      </c>
      <c r="B16">
        <v>50000</v>
      </c>
      <c r="C16" s="9">
        <v>0.1</v>
      </c>
    </row>
    <row r="17" spans="1:3" x14ac:dyDescent="0.2">
      <c r="A17" t="s">
        <v>34</v>
      </c>
      <c r="B17">
        <v>65000</v>
      </c>
      <c r="C17" s="9">
        <v>0.14000000000000001</v>
      </c>
    </row>
    <row r="18" spans="1:3" x14ac:dyDescent="0.2">
      <c r="A18" t="s">
        <v>35</v>
      </c>
      <c r="B18">
        <v>80000</v>
      </c>
      <c r="C18" s="9">
        <v>0.18</v>
      </c>
    </row>
    <row r="19" spans="1:3" x14ac:dyDescent="0.2">
      <c r="A19" t="s">
        <v>36</v>
      </c>
      <c r="B19">
        <v>95000</v>
      </c>
      <c r="C19" s="9">
        <v>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AAC7-D38F-CD44-BFED-BEACC1E386EE}">
  <dimension ref="A1:E15"/>
  <sheetViews>
    <sheetView zoomScale="167" workbookViewId="0">
      <selection activeCell="B16" sqref="B16"/>
    </sheetView>
  </sheetViews>
  <sheetFormatPr baseColWidth="10" defaultRowHeight="16" x14ac:dyDescent="0.2"/>
  <sheetData>
    <row r="1" spans="1:5" x14ac:dyDescent="0.2">
      <c r="A1" t="s">
        <v>91</v>
      </c>
      <c r="B1">
        <v>500</v>
      </c>
      <c r="C1" t="s">
        <v>92</v>
      </c>
      <c r="D1" t="s">
        <v>91</v>
      </c>
      <c r="E1">
        <f>B3</f>
        <v>50000</v>
      </c>
    </row>
    <row r="2" spans="1:5" x14ac:dyDescent="0.2">
      <c r="A2">
        <v>50</v>
      </c>
      <c r="B2">
        <v>100</v>
      </c>
      <c r="C2" t="s">
        <v>93</v>
      </c>
      <c r="D2">
        <v>50</v>
      </c>
      <c r="E2">
        <f t="dataTable" ref="E2:E7" dt2D="0" dtr="0" r1="B2"/>
        <v>25000</v>
      </c>
    </row>
    <row r="3" spans="1:5" x14ac:dyDescent="0.2">
      <c r="A3">
        <v>100</v>
      </c>
      <c r="B3">
        <f>B1*B2</f>
        <v>50000</v>
      </c>
      <c r="D3">
        <v>100</v>
      </c>
      <c r="E3">
        <v>50000</v>
      </c>
    </row>
    <row r="4" spans="1:5" x14ac:dyDescent="0.2">
      <c r="A4">
        <v>150</v>
      </c>
      <c r="D4">
        <v>150</v>
      </c>
      <c r="E4">
        <v>75000</v>
      </c>
    </row>
    <row r="5" spans="1:5" x14ac:dyDescent="0.2">
      <c r="A5">
        <v>200</v>
      </c>
      <c r="D5">
        <v>200</v>
      </c>
      <c r="E5">
        <v>100000</v>
      </c>
    </row>
    <row r="6" spans="1:5" x14ac:dyDescent="0.2">
      <c r="A6">
        <v>250</v>
      </c>
      <c r="D6">
        <v>250</v>
      </c>
      <c r="E6">
        <v>125000</v>
      </c>
    </row>
    <row r="7" spans="1:5" x14ac:dyDescent="0.2">
      <c r="A7">
        <v>300</v>
      </c>
      <c r="D7">
        <v>300</v>
      </c>
      <c r="E7">
        <v>150000</v>
      </c>
    </row>
    <row r="8" spans="1:5" x14ac:dyDescent="0.2">
      <c r="A8" s="29" t="s">
        <v>94</v>
      </c>
      <c r="B8" s="28"/>
      <c r="C8" s="28"/>
      <c r="D8" s="28"/>
    </row>
    <row r="9" spans="1:5" x14ac:dyDescent="0.2">
      <c r="A9" s="28"/>
      <c r="B9" s="28"/>
      <c r="C9" s="28"/>
      <c r="D9" s="28"/>
    </row>
    <row r="10" spans="1:5" x14ac:dyDescent="0.2">
      <c r="A10" t="s">
        <v>95</v>
      </c>
      <c r="B10" t="s">
        <v>96</v>
      </c>
      <c r="C10" t="s">
        <v>97</v>
      </c>
      <c r="D10" t="s">
        <v>98</v>
      </c>
    </row>
    <row r="11" spans="1:5" x14ac:dyDescent="0.2">
      <c r="A11" t="s">
        <v>99</v>
      </c>
      <c r="B11">
        <v>400</v>
      </c>
      <c r="C11">
        <v>500</v>
      </c>
      <c r="D11">
        <v>600</v>
      </c>
    </row>
    <row r="12" spans="1:5" x14ac:dyDescent="0.2">
      <c r="A12" t="s">
        <v>79</v>
      </c>
      <c r="B12">
        <v>600</v>
      </c>
      <c r="C12">
        <v>1000</v>
      </c>
      <c r="D12">
        <v>1400</v>
      </c>
    </row>
    <row r="13" spans="1:5" x14ac:dyDescent="0.2">
      <c r="A13" t="s">
        <v>100</v>
      </c>
      <c r="B13">
        <v>300</v>
      </c>
      <c r="C13">
        <v>300</v>
      </c>
      <c r="D13">
        <v>280</v>
      </c>
    </row>
    <row r="15" spans="1:5" x14ac:dyDescent="0.2">
      <c r="A15" t="s">
        <v>43</v>
      </c>
      <c r="B15">
        <f>B11*B12-B13*B12</f>
        <v>60000</v>
      </c>
    </row>
  </sheetData>
  <scenarios current="2" show="0" sqref="B15">
    <scenario name="Worst Case" locked="1" count="3" user="Pavani Kampasati" comment="Created by Pavani Kampasati on 11/08/2026_x000a_Modified by Pavani Kampasati on 11/08/2026">
      <inputCells r="B11" val="400"/>
      <inputCells r="B12" val="600"/>
      <inputCells r="B13" val="300"/>
    </scenario>
    <scenario name="Expected" locked="1" count="3" user="Pavani Kampasati" comment="Created by Pavani Kampasati on 11/08/2026">
      <inputCells r="B11" val="500"/>
      <inputCells r="B12" val="1000"/>
      <inputCells r="B13" val="300"/>
    </scenario>
    <scenario name="Best Case" locked="1" count="3" user="Pavani Kampasati" comment="Created by Pavani Kampasati on 11/08/2026">
      <inputCells r="B11" val="600"/>
      <inputCells r="B12" val="1400"/>
      <inputCells r="B13" val="280"/>
    </scenario>
  </scenarios>
  <mergeCells count="1">
    <mergeCell ref="A8:D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07CB-2655-554E-BECB-18A1928D210B}">
  <sheetPr>
    <outlinePr summaryBelow="0"/>
  </sheetPr>
  <dimension ref="B1:G13"/>
  <sheetViews>
    <sheetView showGridLines="0" zoomScale="166" workbookViewId="0"/>
  </sheetViews>
  <sheetFormatPr baseColWidth="10" defaultRowHeight="16" outlineLevelRow="1" outlineLevelCol="1" x14ac:dyDescent="0.2"/>
  <cols>
    <col min="3" max="3" width="6.33203125" bestFit="1" customWidth="1"/>
    <col min="4" max="7" width="12.5" bestFit="1" customWidth="1" outlineLevel="1"/>
  </cols>
  <sheetData>
    <row r="1" spans="2:7" ht="17" thickBot="1" x14ac:dyDescent="0.25"/>
    <row r="2" spans="2:7" ht="19" x14ac:dyDescent="0.25">
      <c r="B2" s="12" t="s">
        <v>106</v>
      </c>
      <c r="C2" s="12"/>
      <c r="D2" s="17"/>
      <c r="E2" s="17"/>
      <c r="F2" s="17"/>
      <c r="G2" s="17"/>
    </row>
    <row r="3" spans="2:7" ht="19" collapsed="1" x14ac:dyDescent="0.25">
      <c r="B3" s="11"/>
      <c r="C3" s="11"/>
      <c r="D3" s="18" t="s">
        <v>108</v>
      </c>
      <c r="E3" s="18" t="s">
        <v>96</v>
      </c>
      <c r="F3" s="18" t="s">
        <v>97</v>
      </c>
      <c r="G3" s="18" t="s">
        <v>98</v>
      </c>
    </row>
    <row r="4" spans="2:7" ht="72" hidden="1" outlineLevel="1" x14ac:dyDescent="0.2">
      <c r="B4" s="14"/>
      <c r="C4" s="14"/>
      <c r="E4" s="20" t="s">
        <v>104</v>
      </c>
      <c r="F4" s="20" t="s">
        <v>105</v>
      </c>
      <c r="G4" s="20" t="s">
        <v>105</v>
      </c>
    </row>
    <row r="5" spans="2:7" x14ac:dyDescent="0.2">
      <c r="B5" s="15" t="s">
        <v>107</v>
      </c>
      <c r="C5" s="15"/>
      <c r="D5" s="13"/>
      <c r="E5" s="13"/>
      <c r="F5" s="13"/>
      <c r="G5" s="13"/>
    </row>
    <row r="6" spans="2:7" outlineLevel="1" x14ac:dyDescent="0.2">
      <c r="B6" s="14"/>
      <c r="C6" s="14" t="s">
        <v>101</v>
      </c>
      <c r="D6">
        <v>400</v>
      </c>
      <c r="E6" s="19">
        <v>400</v>
      </c>
      <c r="F6" s="19">
        <v>500</v>
      </c>
      <c r="G6" s="19">
        <v>600</v>
      </c>
    </row>
    <row r="7" spans="2:7" outlineLevel="1" x14ac:dyDescent="0.2">
      <c r="B7" s="14"/>
      <c r="C7" s="14" t="s">
        <v>102</v>
      </c>
      <c r="D7">
        <v>600</v>
      </c>
      <c r="E7" s="19">
        <v>600</v>
      </c>
      <c r="F7" s="19">
        <v>1000</v>
      </c>
      <c r="G7" s="19">
        <v>1400</v>
      </c>
    </row>
    <row r="8" spans="2:7" outlineLevel="1" x14ac:dyDescent="0.2">
      <c r="B8" s="14"/>
      <c r="C8" s="14" t="s">
        <v>103</v>
      </c>
      <c r="D8">
        <v>300</v>
      </c>
      <c r="E8" s="19">
        <v>300</v>
      </c>
      <c r="F8" s="19">
        <v>300</v>
      </c>
      <c r="G8" s="19">
        <v>280</v>
      </c>
    </row>
    <row r="9" spans="2:7" x14ac:dyDescent="0.2">
      <c r="B9" s="15" t="s">
        <v>109</v>
      </c>
      <c r="C9" s="15"/>
      <c r="D9" s="13"/>
      <c r="E9" s="13"/>
      <c r="F9" s="13"/>
      <c r="G9" s="13"/>
    </row>
    <row r="10" spans="2:7" ht="17" outlineLevel="1" thickBot="1" x14ac:dyDescent="0.25">
      <c r="B10" s="16"/>
      <c r="C10" s="16" t="s">
        <v>113</v>
      </c>
      <c r="D10" s="10">
        <v>60000</v>
      </c>
      <c r="E10" s="10">
        <v>60000</v>
      </c>
      <c r="F10" s="10">
        <v>200000</v>
      </c>
      <c r="G10" s="10">
        <v>448000</v>
      </c>
    </row>
    <row r="11" spans="2:7" x14ac:dyDescent="0.2">
      <c r="B11" t="s">
        <v>110</v>
      </c>
    </row>
    <row r="12" spans="2:7" x14ac:dyDescent="0.2">
      <c r="B12" t="s">
        <v>111</v>
      </c>
    </row>
    <row r="13" spans="2:7" x14ac:dyDescent="0.2">
      <c r="B13"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75B3-ABA8-9343-9878-A91A0415985D}">
  <dimension ref="A1:G11"/>
  <sheetViews>
    <sheetView topLeftCell="AP1" zoomScale="150" workbookViewId="0">
      <selection activeCell="E13" sqref="E13"/>
    </sheetView>
  </sheetViews>
  <sheetFormatPr baseColWidth="10" defaultRowHeight="16" x14ac:dyDescent="0.2"/>
  <sheetData>
    <row r="1" spans="1:7" x14ac:dyDescent="0.2">
      <c r="A1" s="21" t="s">
        <v>8</v>
      </c>
      <c r="B1" s="23" t="s">
        <v>9</v>
      </c>
      <c r="C1" s="23" t="s">
        <v>10</v>
      </c>
      <c r="E1" s="23" t="s">
        <v>8</v>
      </c>
      <c r="F1" s="23" t="s">
        <v>9</v>
      </c>
      <c r="G1" s="23" t="s">
        <v>10</v>
      </c>
    </row>
    <row r="2" spans="1:7" x14ac:dyDescent="0.2">
      <c r="A2" s="22" t="s">
        <v>2</v>
      </c>
      <c r="B2" s="24">
        <v>50000</v>
      </c>
      <c r="C2" s="24">
        <v>8000</v>
      </c>
      <c r="E2" s="26" t="s">
        <v>66</v>
      </c>
      <c r="F2" s="26">
        <v>25000</v>
      </c>
      <c r="G2" s="26">
        <v>4000</v>
      </c>
    </row>
    <row r="3" spans="1:7" x14ac:dyDescent="0.2">
      <c r="A3" s="22" t="s">
        <v>4</v>
      </c>
      <c r="B3" s="24">
        <v>10000</v>
      </c>
      <c r="C3" s="24">
        <v>2000</v>
      </c>
      <c r="E3" s="26" t="s">
        <v>116</v>
      </c>
      <c r="F3" s="26">
        <v>18000</v>
      </c>
      <c r="G3" s="26">
        <v>3000</v>
      </c>
    </row>
    <row r="4" spans="1:7" x14ac:dyDescent="0.2">
      <c r="A4" s="22" t="s">
        <v>5</v>
      </c>
      <c r="B4" s="24">
        <v>15000</v>
      </c>
      <c r="C4" s="24">
        <v>3000</v>
      </c>
      <c r="E4" s="26" t="s">
        <v>117</v>
      </c>
      <c r="F4" s="26">
        <v>12000</v>
      </c>
      <c r="G4" s="26">
        <v>2500</v>
      </c>
    </row>
    <row r="5" spans="1:7" x14ac:dyDescent="0.2">
      <c r="A5" s="22" t="s">
        <v>26</v>
      </c>
      <c r="B5" s="24">
        <v>30000</v>
      </c>
      <c r="C5" s="24">
        <v>5000</v>
      </c>
      <c r="E5" s="26" t="s">
        <v>118</v>
      </c>
      <c r="F5" s="26">
        <v>22000</v>
      </c>
      <c r="G5" s="26">
        <v>3500</v>
      </c>
    </row>
    <row r="7" spans="1:7" x14ac:dyDescent="0.2">
      <c r="A7" s="23" t="s">
        <v>8</v>
      </c>
      <c r="B7" s="23" t="s">
        <v>9</v>
      </c>
      <c r="C7" s="23" t="s">
        <v>10</v>
      </c>
    </row>
    <row r="8" spans="1:7" x14ac:dyDescent="0.2">
      <c r="A8" s="25" t="s">
        <v>81</v>
      </c>
      <c r="B8" s="25">
        <v>70000</v>
      </c>
      <c r="C8" s="25">
        <v>12000</v>
      </c>
    </row>
    <row r="9" spans="1:7" x14ac:dyDescent="0.2">
      <c r="A9" s="25" t="s">
        <v>82</v>
      </c>
      <c r="B9" s="26">
        <v>40000</v>
      </c>
      <c r="C9" s="25">
        <v>7000</v>
      </c>
    </row>
    <row r="10" spans="1:7" x14ac:dyDescent="0.2">
      <c r="A10" s="25" t="s">
        <v>114</v>
      </c>
      <c r="B10" s="26">
        <v>15000</v>
      </c>
      <c r="C10" s="25">
        <v>3500</v>
      </c>
    </row>
    <row r="11" spans="1:7" x14ac:dyDescent="0.2">
      <c r="A11" s="25" t="s">
        <v>115</v>
      </c>
      <c r="B11" s="26">
        <v>60000</v>
      </c>
      <c r="C11" s="25">
        <v>9000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8665-BFBF-7D45-8904-F2C0FC909E37}">
  <dimension ref="A1:C5"/>
  <sheetViews>
    <sheetView tabSelected="1" zoomScale="161" workbookViewId="0">
      <selection activeCell="C6" sqref="C6"/>
    </sheetView>
  </sheetViews>
  <sheetFormatPr baseColWidth="10" defaultRowHeight="16" x14ac:dyDescent="0.2"/>
  <sheetData>
    <row r="1" spans="1:3" x14ac:dyDescent="0.2">
      <c r="A1" t="s">
        <v>8</v>
      </c>
      <c r="B1" t="s">
        <v>9</v>
      </c>
      <c r="C1" t="s">
        <v>10</v>
      </c>
    </row>
    <row r="2" spans="1:3" x14ac:dyDescent="0.2">
      <c r="A2" t="s">
        <v>2</v>
      </c>
      <c r="B2">
        <v>50000</v>
      </c>
      <c r="C2">
        <v>8000</v>
      </c>
    </row>
    <row r="3" spans="1:3" x14ac:dyDescent="0.2">
      <c r="A3" t="s">
        <v>119</v>
      </c>
      <c r="B3">
        <v>10000</v>
      </c>
      <c r="C3">
        <v>2000</v>
      </c>
    </row>
    <row r="4" spans="1:3" x14ac:dyDescent="0.2">
      <c r="A4" t="s">
        <v>82</v>
      </c>
      <c r="B4">
        <v>15000</v>
      </c>
      <c r="C4">
        <v>3000</v>
      </c>
    </row>
    <row r="5" spans="1:3" x14ac:dyDescent="0.2">
      <c r="A5" t="s">
        <v>114</v>
      </c>
      <c r="B5">
        <v>30000</v>
      </c>
      <c r="C5">
        <v>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Day8</vt:lpstr>
      <vt:lpstr>Day9</vt:lpstr>
      <vt:lpstr>Day10</vt:lpstr>
      <vt:lpstr>Day11</vt:lpstr>
      <vt:lpstr>Day12</vt:lpstr>
      <vt:lpstr>Scenario Summary 2</vt:lpstr>
      <vt:lpstr>Day13</vt:lpstr>
      <vt:lpstr>Day14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kampasati</dc:creator>
  <cp:lastModifiedBy>pavani kampasati</cp:lastModifiedBy>
  <dcterms:created xsi:type="dcterms:W3CDTF">2026-08-07T01:16:44Z</dcterms:created>
  <dcterms:modified xsi:type="dcterms:W3CDTF">2026-08-12T14:19:46Z</dcterms:modified>
</cp:coreProperties>
</file>